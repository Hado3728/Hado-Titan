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ight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<sst xmlns="http://schemas.openxmlformats.org/spreadsheetml/2006/main" count="51" uniqueCount="51">
  <si>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15kg Robowar — Weight Budget</t>
  </si>
  <si>
    <t xml:space="preserve">Legend: Blue = editable input (qty / unit weight) · Black = formula (do not edit) · Fill in your real numbers as parts are chosen.</t>
  </si>
  <si>
    <t xml:space="preserve">Subsystem</t>
  </si>
  <si>
    <t xml:space="preserve">Component</t>
  </si>
  <si>
    <t xml:space="preserve">Qty</t>
  </si>
  <si>
    <t xml:space="preserve">Unit Weight (g)</t>
  </si>
  <si>
    <t xml:space="preserve">Subtotal (g)</t>
  </si>
  <si>
    <t xml:space="preserve">Subtotal (kg)</t>
  </si>
  <si>
    <t xml:space="preserve">% of 15kg Limit</t>
  </si>
  <si>
    <t xml:space="preserve">Weapon System</t>
  </si>
  <si>
    <t xml:space="preserve">Drum (machined steel, shrouded)</t>
  </si>
  <si>
    <t xml:space="preserve">Weapon motor (brushless, 8S-rated)</t>
  </si>
  <si>
    <t xml:space="preserve">Belt + pulleys (weapon reduction)</t>
  </si>
  <si>
    <t xml:space="preserve">Weapon bearings + shaft</t>
  </si>
  <si>
    <t xml:space="preserve">Containment plate (behind drum arc)</t>
  </si>
  <si>
    <t xml:space="preserve">Weapon System subtotal</t>
  </si>
  <si>
    <t xml:space="preserve">Forks (Control Weapon)</t>
  </si>
  <si>
    <t xml:space="preserve">Front fork assembly (hardened steel)</t>
  </si>
  <si>
    <t xml:space="preserve">Rear fork assembly (hardened steel)</t>
  </si>
  <si>
    <t xml:space="preserve">Fork actuation linkage/pivot hardware</t>
  </si>
  <si>
    <t xml:space="preserve">Forks (Control Weapon) subtotal</t>
  </si>
  <si>
    <t xml:space="preserve">Armor / Shell</t>
  </si>
  <si>
    <t xml:space="preserve">Top shell panel</t>
  </si>
  <si>
    <t xml:space="preserve">Wedge front armor (bolt-on, replaceable)</t>
  </si>
  <si>
    <t xml:space="preserve">Side armor panels</t>
  </si>
  <si>
    <t xml:space="preserve">Chassis frame (aluminum)</t>
  </si>
  <si>
    <t xml:space="preserve">Armor / Shell subtotal</t>
  </si>
  <si>
    <t xml:space="preserve">Drivetrain</t>
  </si>
  <si>
    <t xml:space="preserve">Drive motor</t>
  </si>
  <si>
    <t xml:space="preserve">Wheel + tire</t>
  </si>
  <si>
    <t xml:space="preserve">Gearbox</t>
  </si>
  <si>
    <t xml:space="preserve">Drivetrain subtotal</t>
  </si>
  <si>
    <t xml:space="preserve">Battery + Electronics</t>
  </si>
  <si>
    <t xml:space="preserve">Main battery pack (8S LiPo)</t>
  </si>
  <si>
    <t xml:space="preserve">Weapon ESC</t>
  </si>
  <si>
    <t xml:space="preserve">Drive ESC</t>
  </si>
  <si>
    <t xml:space="preserve">Receiver</t>
  </si>
  <si>
    <t xml:space="preserve">Wiring, connectors, switches</t>
  </si>
  <si>
    <t xml:space="preserve">Battery + Electronics subtotal</t>
  </si>
  <si>
    <t xml:space="preserve">Fasteners / Misc</t>
  </si>
  <si>
    <t xml:space="preserve">Bolts, standoffs, spacers, foam padding</t>
  </si>
  <si>
    <t xml:space="preserve">Fasteners / Misc subtotal</t>
  </si>
  <si>
    <t xml:space="preserve">TOTAL BOT WEIGHT</t>
  </si>
  <si>
    <t xml:space="preserve">Remaining budget vs 15kg limit (kg)</t>
  </si>
  <si>
    <t xml:space="preserve">Status</t>
  </si>
  <si>
    <t xml:space="preserve">Notes</t>
  </si>
  <si>
    <t xml:space="preserve">Unit weights above are placeholder estimates for a 15kg combat bot — replace with real</t>
  </si>
  <si>
    <t xml:space="preserve">spec-sheet weights as you finalize motor, battery, and material choices.</t>
  </si>
  <si>
    <t xml:space="preserve">Voltage target: 8S LiPo (~29.6V nominal) to stay safely under the 36V DC/AC limit.</t>
  </si>
  <si>
    <t xml:space="preserve">Weapon spins up/down frequently rather than running continuously — battery sized for</t>
  </si>
  <si>
    <t xml:space="preserve">repeated high-current pulses, not sustained full-match draw.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</si>
</sst>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6" t="n">
        <v>1</v>
      </c>
      <c r="D5" s="6" t="n">
        <v>900</v>
      </c>
      <c r="E5" s="7" t="n">
        <f aca="false">C5*D5</f>
        <v>900</v>
      </c>
      <c r="F5" s="8" t="n">
        <f aca="false">E5/1000</f>
        <v>0.9</v>
      </c>
      <c r="G5" s="9" t="n">
        <f aca="false">F5/15</f>
        <v>0.06</v>
      </c>
    </row>
    <row r="6" customFormat="false" ht="15" hidden="false" customHeight="false" outlineLevel="0" collapsed="false">
      <c r="A6" s="10"/>
      <c r="B6" s="5" t="s">
        <v>11</v>
      </c>
      <c r="C6" s="6" t="n">
        <v>1</v>
      </c>
      <c r="D6" s="6" t="n">
        <v>350</v>
      </c>
      <c r="E6" s="7" t="n">
        <f aca="false">C6*D6</f>
        <v>350</v>
      </c>
      <c r="F6" s="8" t="n">
        <f aca="false">E6/1000</f>
        <v>0.35</v>
      </c>
      <c r="G6" s="9" t="n">
        <f aca="false">F6/15</f>
        <v>0.0233333333333333</v>
      </c>
    </row>
    <row r="7" customFormat="false" ht="15" hidden="false" customHeight="false" outlineLevel="0" collapsed="false">
      <c r="A7" s="10"/>
      <c r="B7" s="5" t="s">
        <v>12</v>
      </c>
      <c r="C7" s="6" t="n">
        <v>1</v>
      </c>
      <c r="D7" s="6" t="n">
        <v>150</v>
      </c>
      <c r="E7" s="7" t="n">
        <f aca="false">C7*D7</f>
        <v>150</v>
      </c>
      <c r="F7" s="8" t="n">
        <f aca="false">E7/1000</f>
        <v>0.15</v>
      </c>
      <c r="G7" s="9" t="n">
        <f aca="false">F7/15</f>
        <v>0.01</v>
      </c>
    </row>
    <row r="8" customFormat="false" ht="15" hidden="false" customHeight="false" outlineLevel="0" collapsed="false">
      <c r="A8" s="10"/>
      <c r="B8" s="5" t="s">
        <v>13</v>
      </c>
      <c r="C8" s="6" t="n">
        <v>1</v>
      </c>
      <c r="D8" s="6" t="n">
        <v>120</v>
      </c>
      <c r="E8" s="7" t="n">
        <f aca="false">C8*D8</f>
        <v>120</v>
      </c>
      <c r="F8" s="8" t="n">
        <f aca="false">E8/1000</f>
        <v>0.12</v>
      </c>
      <c r="G8" s="9" t="n">
        <f aca="false">F8/15</f>
        <v>0.008</v>
      </c>
    </row>
    <row r="9" customFormat="false" ht="15" hidden="false" customHeight="false" outlineLevel="0" collapsed="false">
      <c r="A9" s="10"/>
      <c r="B9" s="5" t="s">
        <v>14</v>
      </c>
      <c r="C9" s="6" t="n">
        <v>1</v>
      </c>
      <c r="D9" s="6" t="n">
        <v>300</v>
      </c>
      <c r="E9" s="7" t="n">
        <f aca="false">C9*D9</f>
        <v>300</v>
      </c>
      <c r="F9" s="8" t="n">
        <f aca="false">E9/1000</f>
        <v>0.3</v>
      </c>
      <c r="G9" s="9" t="n">
        <f aca="false">F9/15</f>
        <v>0.02</v>
      </c>
    </row>
    <row r="10" customFormat="false" ht="15" hidden="false" customHeight="false" outlineLevel="0" collapsed="false">
      <c r="A10" s="11"/>
      <c r="B10" s="12" t="s">
        <v>15</v>
      </c>
      <c r="C10" s="11"/>
      <c r="D10" s="11"/>
      <c r="E10" s="13" t="n">
        <f aca="false">SUM(E5:E9)</f>
        <v>1820</v>
      </c>
      <c r="F10" s="14" t="n">
        <f aca="false">E10/1000</f>
        <v>1.82</v>
      </c>
      <c r="G10" s="15" t="n">
        <f aca="false">F10/15</f>
        <v>0.121333333333333</v>
      </c>
    </row>
    <row r="11" customFormat="false" ht="15" hidden="false" customHeight="false" outlineLevel="0" collapsed="false">
      <c r="A11" s="4" t="s">
        <v>16</v>
      </c>
      <c r="B11" s="5" t="s">
        <v>17</v>
      </c>
      <c r="C11" s="6" t="n">
        <v>1</v>
      </c>
      <c r="D11" s="6" t="n">
        <v>500</v>
      </c>
      <c r="E11" s="7" t="n">
        <f aca="false">C11*D11</f>
        <v>500</v>
      </c>
      <c r="F11" s="8" t="n">
        <f aca="false">E11/1000</f>
        <v>0.5</v>
      </c>
      <c r="G11" s="9" t="n">
        <f aca="false">F11/15</f>
        <v>0.0333333333333333</v>
      </c>
    </row>
    <row r="12" customFormat="false" ht="15" hidden="false" customHeight="false" outlineLevel="0" collapsed="false">
      <c r="A12" s="10"/>
      <c r="B12" s="5" t="s">
        <v>18</v>
      </c>
      <c r="C12" s="6" t="n">
        <v>1</v>
      </c>
      <c r="D12" s="6" t="n">
        <v>400</v>
      </c>
      <c r="E12" s="7" t="n">
        <f aca="false">C12*D12</f>
        <v>400</v>
      </c>
      <c r="F12" s="8" t="n">
        <f aca="false">E12/1000</f>
        <v>0.4</v>
      </c>
      <c r="G12" s="9" t="n">
        <f aca="false">F12/15</f>
        <v>0.0266666666666667</v>
      </c>
    </row>
    <row r="13" customFormat="false" ht="15" hidden="false" customHeight="false" outlineLevel="0" collapsed="false">
      <c r="A13" s="10"/>
      <c r="B13" s="5" t="s">
        <v>19</v>
      </c>
      <c r="C13" s="6" t="n">
        <v>1</v>
      </c>
      <c r="D13" s="6" t="n">
        <v>150</v>
      </c>
      <c r="E13" s="7" t="n">
        <f aca="false">C13*D13</f>
        <v>150</v>
      </c>
      <c r="F13" s="8" t="n">
        <f aca="false">E13/1000</f>
        <v>0.15</v>
      </c>
      <c r="G13" s="9" t="n">
        <f aca="false">F13/15</f>
        <v>0.01</v>
      </c>
    </row>
    <row r="14" customFormat="false" ht="15" hidden="false" customHeight="false" outlineLevel="0" collapsed="false">
      <c r="A14" s="11"/>
      <c r="B14" s="12" t="s">
        <v>20</v>
      </c>
      <c r="C14" s="11"/>
      <c r="D14" s="11"/>
      <c r="E14" s="13" t="n">
        <f aca="false">SUM(E11:E13)</f>
        <v>1050</v>
      </c>
      <c r="F14" s="14" t="n">
        <f aca="false">E14/1000</f>
        <v>1.05</v>
      </c>
      <c r="G14" s="15" t="n">
        <f aca="false">F14/15</f>
        <v>0.07</v>
      </c>
    </row>
    <row r="15" customFormat="false" ht="15" hidden="false" customHeight="false" outlineLevel="0" collapsed="false">
      <c r="A15" s="4" t="s">
        <v>21</v>
      </c>
      <c r="B15" s="5" t="s">
        <v>22</v>
      </c>
      <c r="C15" s="6" t="n">
        <v>1</v>
      </c>
      <c r="D15" s="6" t="n">
        <v>700</v>
      </c>
      <c r="E15" s="7" t="n">
        <f aca="false">C15*D15</f>
        <v>700</v>
      </c>
      <c r="F15" s="8" t="n">
        <f aca="false">E15/1000</f>
        <v>0.7</v>
      </c>
      <c r="G15" s="9" t="n">
        <f aca="false">F15/15</f>
        <v>0.0466666666666667</v>
      </c>
    </row>
    <row r="16" customFormat="false" ht="15" hidden="false" customHeight="false" outlineLevel="0" collapsed="false">
      <c r="A16" s="10"/>
      <c r="B16" s="5" t="s">
        <v>23</v>
      </c>
      <c r="C16" s="6" t="n">
        <v>1</v>
      </c>
      <c r="D16" s="6" t="n">
        <v>450</v>
      </c>
      <c r="E16" s="7" t="n">
        <f aca="false">C16*D16</f>
        <v>450</v>
      </c>
      <c r="F16" s="8" t="n">
        <f aca="false">E16/1000</f>
        <v>0.45</v>
      </c>
      <c r="G16" s="9" t="n">
        <f aca="false">F16/15</f>
        <v>0.03</v>
      </c>
    </row>
    <row r="17" customFormat="false" ht="15" hidden="false" customHeight="false" outlineLevel="0" collapsed="false">
      <c r="A17" s="10"/>
      <c r="B17" s="5" t="s">
        <v>24</v>
      </c>
      <c r="C17" s="6" t="n">
        <v>2</v>
      </c>
      <c r="D17" s="6" t="n">
        <v>250</v>
      </c>
      <c r="E17" s="7" t="n">
        <f aca="false">C17*D17</f>
        <v>500</v>
      </c>
      <c r="F17" s="8" t="n">
        <f aca="false">E17/1000</f>
        <v>0.5</v>
      </c>
      <c r="G17" s="9" t="n">
        <f aca="false">F17/15</f>
        <v>0.0333333333333333</v>
      </c>
    </row>
    <row r="18" customFormat="false" ht="15" hidden="false" customHeight="false" outlineLevel="0" collapsed="false">
      <c r="A18" s="10"/>
      <c r="B18" s="5" t="s">
        <v>25</v>
      </c>
      <c r="C18" s="6" t="n">
        <v>1</v>
      </c>
      <c r="D18" s="6" t="n">
        <v>600</v>
      </c>
      <c r="E18" s="7" t="n">
        <f aca="false">C18*D18</f>
        <v>600</v>
      </c>
      <c r="F18" s="8" t="n">
        <f aca="false">E18/1000</f>
        <v>0.6</v>
      </c>
      <c r="G18" s="9" t="n">
        <f aca="false">F18/15</f>
        <v>0.04</v>
      </c>
    </row>
    <row r="19" customFormat="false" ht="15" hidden="false" customHeight="false" outlineLevel="0" collapsed="false">
      <c r="A19" s="11"/>
      <c r="B19" s="12" t="s">
        <v>26</v>
      </c>
      <c r="C19" s="11"/>
      <c r="D19" s="11"/>
      <c r="E19" s="13" t="n">
        <f aca="false">SUM(E15:E18)</f>
        <v>2250</v>
      </c>
      <c r="F19" s="14" t="n">
        <f aca="false">E19/1000</f>
        <v>2.25</v>
      </c>
      <c r="G19" s="15" t="n">
        <f aca="false">F19/15</f>
        <v>0.15</v>
      </c>
    </row>
    <row r="20" customFormat="false" ht="15" hidden="false" customHeight="false" outlineLevel="0" collapsed="false">
      <c r="A20" s="4" t="s">
        <v>27</v>
      </c>
      <c r="B20" s="5" t="s">
        <v>28</v>
      </c>
      <c r="C20" s="6" t="n">
        <v>2</v>
      </c>
      <c r="D20" s="6" t="n">
        <v>220</v>
      </c>
      <c r="E20" s="7" t="n">
        <f aca="false">C20*D20</f>
        <v>440</v>
      </c>
      <c r="F20" s="8" t="n">
        <f aca="false">E20/1000</f>
        <v>0.44</v>
      </c>
      <c r="G20" s="9" t="n">
        <f aca="false">F20/15</f>
        <v>0.0293333333333333</v>
      </c>
    </row>
    <row r="21" customFormat="false" ht="15" hidden="false" customHeight="false" outlineLevel="0" collapsed="false">
      <c r="A21" s="10"/>
      <c r="B21" s="5" t="s">
        <v>29</v>
      </c>
      <c r="C21" s="6" t="n">
        <v>2</v>
      </c>
      <c r="D21" s="6" t="n">
        <v>180</v>
      </c>
      <c r="E21" s="7" t="n">
        <f aca="false">C21*D21</f>
        <v>360</v>
      </c>
      <c r="F21" s="8" t="n">
        <f aca="false">E21/1000</f>
        <v>0.36</v>
      </c>
      <c r="G21" s="9" t="n">
        <f aca="false">F21/15</f>
        <v>0.024</v>
      </c>
    </row>
    <row r="22" customFormat="false" ht="15" hidden="false" customHeight="false" outlineLevel="0" collapsed="false">
      <c r="A22" s="10"/>
      <c r="B22" s="5" t="s">
        <v>30</v>
      </c>
      <c r="C22" s="6" t="n">
        <v>2</v>
      </c>
      <c r="D22" s="6" t="n">
        <v>150</v>
      </c>
      <c r="E22" s="7" t="n">
        <f aca="false">C22*D22</f>
        <v>300</v>
      </c>
      <c r="F22" s="8" t="n">
        <f aca="false">E22/1000</f>
        <v>0.3</v>
      </c>
      <c r="G22" s="9" t="n">
        <f aca="false">F22/15</f>
        <v>0.02</v>
      </c>
    </row>
    <row r="23" customFormat="false" ht="15" hidden="false" customHeight="false" outlineLevel="0" collapsed="false">
      <c r="A23" s="11"/>
      <c r="B23" s="12" t="s">
        <v>31</v>
      </c>
      <c r="C23" s="11"/>
      <c r="D23" s="11"/>
      <c r="E23" s="13" t="n">
        <f aca="false">SUM(E20:E22)</f>
        <v>1100</v>
      </c>
      <c r="F23" s="14" t="n">
        <f aca="false">E23/1000</f>
        <v>1.1</v>
      </c>
      <c r="G23" s="15" t="n">
        <f aca="false">F23/15</f>
        <v>0.0733333333333333</v>
      </c>
    </row>
    <row r="24" customFormat="false" ht="15" hidden="false" customHeight="false" outlineLevel="0" collapsed="false">
      <c r="A24" s="4" t="s">
        <v>32</v>
      </c>
      <c r="B24" s="5" t="s">
        <v>33</v>
      </c>
      <c r="C24" s="6" t="n">
        <v>1</v>
      </c>
      <c r="D24" s="6" t="n">
        <v>700</v>
      </c>
      <c r="E24" s="7" t="n">
        <f aca="false">C24*D24</f>
        <v>700</v>
      </c>
      <c r="F24" s="8" t="n">
        <f aca="false">E24/1000</f>
        <v>0.7</v>
      </c>
      <c r="G24" s="9" t="n">
        <f aca="false">F24/15</f>
        <v>0.0466666666666667</v>
      </c>
    </row>
    <row r="25" customFormat="false" ht="15" hidden="false" customHeight="false" outlineLevel="0" collapsed="false">
      <c r="A25" s="10"/>
      <c r="B25" s="5" t="s">
        <v>34</v>
      </c>
      <c r="C25" s="6" t="n">
        <v>1</v>
      </c>
      <c r="D25" s="6" t="n">
        <v>90</v>
      </c>
      <c r="E25" s="7" t="n">
        <f aca="false">C25*D25</f>
        <v>90</v>
      </c>
      <c r="F25" s="8" t="n">
        <f aca="false">E25/1000</f>
        <v>0.09</v>
      </c>
      <c r="G25" s="9" t="n">
        <f aca="false">F25/15</f>
        <v>0.006</v>
      </c>
    </row>
    <row r="26" customFormat="false" ht="15" hidden="false" customHeight="false" outlineLevel="0" collapsed="false">
      <c r="A26" s="10"/>
      <c r="B26" s="5" t="s">
        <v>35</v>
      </c>
      <c r="C26" s="6" t="n">
        <v>1</v>
      </c>
      <c r="D26" s="6" t="n">
        <v>70</v>
      </c>
      <c r="E26" s="7" t="n">
        <f aca="false">C26*D26</f>
        <v>70</v>
      </c>
      <c r="F26" s="8" t="n">
        <f aca="false">E26/1000</f>
        <v>0.07</v>
      </c>
      <c r="G26" s="9" t="n">
        <f aca="false">F26/15</f>
        <v>0.00466666666666667</v>
      </c>
    </row>
    <row r="27" customFormat="false" ht="15" hidden="false" customHeight="false" outlineLevel="0" collapsed="false">
      <c r="A27" s="10"/>
      <c r="B27" s="5" t="s">
        <v>36</v>
      </c>
      <c r="C27" s="6" t="n">
        <v>1</v>
      </c>
      <c r="D27" s="6" t="n">
        <v>20</v>
      </c>
      <c r="E27" s="7" t="n">
        <f aca="false">C27*D27</f>
        <v>20</v>
      </c>
      <c r="F27" s="8" t="n">
        <f aca="false">E27/1000</f>
        <v>0.02</v>
      </c>
      <c r="G27" s="9" t="n">
        <f aca="false">F27/15</f>
        <v>0.00133333333333333</v>
      </c>
    </row>
    <row r="28" customFormat="false" ht="15" hidden="false" customHeight="false" outlineLevel="0" collapsed="false">
      <c r="A28" s="10"/>
      <c r="B28" s="5" t="s">
        <v>37</v>
      </c>
      <c r="C28" s="6" t="n">
        <v>1</v>
      </c>
      <c r="D28" s="6" t="n">
        <v>100</v>
      </c>
      <c r="E28" s="7" t="n">
        <f aca="false">C28*D28</f>
        <v>100</v>
      </c>
      <c r="F28" s="8" t="n">
        <f aca="false">E28/1000</f>
        <v>0.1</v>
      </c>
      <c r="G28" s="9" t="n">
        <f aca="false">F28/15</f>
        <v>0.00666666666666667</v>
      </c>
    </row>
    <row r="29" customFormat="false" ht="15" hidden="false" customHeight="false" outlineLevel="0" collapsed="false">
      <c r="A29" s="11"/>
      <c r="B29" s="12" t="s">
        <v>38</v>
      </c>
      <c r="C29" s="11"/>
      <c r="D29" s="11"/>
      <c r="E29" s="13" t="n">
        <f aca="false">SUM(E24:E28)</f>
        <v>980</v>
      </c>
      <c r="F29" s="14" t="n">
        <f aca="false">E29/1000</f>
        <v>0.98</v>
      </c>
      <c r="G29" s="15" t="n">
        <f aca="false">F29/15</f>
        <v>0.0653333333333333</v>
      </c>
    </row>
    <row r="30" customFormat="false" ht="15" hidden="false" customHeight="false" outlineLevel="0" collapsed="false">
      <c r="A30" s="4" t="s">
        <v>39</v>
      </c>
      <c r="B30" s="5" t="s">
        <v>40</v>
      </c>
      <c r="C30" s="6" t="n">
        <v>1</v>
      </c>
      <c r="D30" s="6" t="n">
        <v>150</v>
      </c>
      <c r="E30" s="7" t="n">
        <f aca="false">C30*D30</f>
        <v>150</v>
      </c>
      <c r="F30" s="8" t="n">
        <f aca="false">E30/1000</f>
        <v>0.15</v>
      </c>
      <c r="G30" s="9" t="n">
        <f aca="false">F30/15</f>
        <v>0.01</v>
      </c>
    </row>
    <row r="31" customFormat="false" ht="15" hidden="false" customHeight="false" outlineLevel="0" collapsed="false">
      <c r="A31" s="11"/>
      <c r="B31" s="12" t="s">
        <v>41</v>
      </c>
      <c r="C31" s="11"/>
      <c r="D31" s="11"/>
      <c r="E31" s="13" t="n">
        <f aca="false">SUM(E30:E30)</f>
        <v>150</v>
      </c>
      <c r="F31" s="14" t="n">
        <f aca="false">E31/1000</f>
        <v>0.15</v>
      </c>
      <c r="G31" s="15" t="n">
        <f aca="false">F31/15</f>
        <v>0.01</v>
      </c>
    </row>
    <row r="33" customFormat="false" ht="15" hidden="false" customHeight="false" outlineLevel="0" collapsed="false">
      <c r="A33" s="16"/>
      <c r="B33" s="17" t="s">
        <v>42</v>
      </c>
      <c r="C33" s="16"/>
      <c r="D33" s="16"/>
      <c r="E33" s="18" t="n">
        <f aca="false">E10+E14+E19+E23+E29+E31</f>
        <v>7350</v>
      </c>
      <c r="F33" s="19" t="n">
        <f aca="false">E33/1000</f>
        <v>7.35</v>
      </c>
      <c r="G33" s="20" t="n">
        <f aca="false">F33/15</f>
        <v>0.49</v>
      </c>
    </row>
    <row r="34" customFormat="false" ht="15" hidden="false" customHeight="false" outlineLevel="0" collapsed="false">
      <c r="A34" s="10"/>
      <c r="B34" s="4" t="s">
        <v>43</v>
      </c>
      <c r="C34" s="10"/>
      <c r="D34" s="10"/>
      <c r="E34" s="10"/>
      <c r="F34" s="21" t="n">
        <f aca="false">15-F33</f>
        <v>7.65</v>
      </c>
      <c r="G34" s="10"/>
    </row>
    <row r="35" customFormat="false" ht="15" hidden="false" customHeight="false" outlineLevel="0" collapsed="false">
      <c r="A35" s="10"/>
      <c r="B35" s="4" t="s">
        <v>44</v>
      </c>
      <c r="C35" s="10"/>
      <c r="D35" s="10"/>
      <c r="E35" s="10"/>
      <c r="F35" s="4" t="str">
        <f aca="false">IF(F33&gt;15,"OVER LIMIT — trim required","Within limit")</f>
        <v>Within limit</v>
      </c>
      <c r="G35" s="10"/>
    </row>
    <row r="37" customFormat="false" ht="15" hidden="false" customHeight="false" outlineLevel="0" collapsed="false">
      <c r="A37" s="22" t="s">
        <v>45</v>
      </c>
    </row>
    <row r="38" customFormat="false" ht="15" hidden="false" customHeight="false" outlineLevel="0" collapsed="false">
      <c r="A38" s="2" t="s">
        <v>46</v>
      </c>
      <c r="B38" s="2"/>
      <c r="C38" s="2"/>
      <c r="D38" s="2"/>
      <c r="E38" s="2"/>
      <c r="F38" s="2"/>
      <c r="G38" s="2"/>
    </row>
    <row r="39" customFormat="false" ht="15" hidden="false" customHeight="false" outlineLevel="0" collapsed="false">
      <c r="A39" s="2" t="s">
        <v>47</v>
      </c>
      <c r="B39" s="2"/>
      <c r="C39" s="2"/>
      <c r="D39" s="2"/>
      <c r="E39" s="2"/>
      <c r="F39" s="2"/>
      <c r="G39" s="2"/>
    </row>
    <row r="40" customFormat="false" ht="15" hidden="false" customHeight="false" outlineLevel="0" collapsed="false">
      <c r="A40" s="2" t="s">
        <v>48</v>
      </c>
      <c r="B40" s="2"/>
      <c r="C40" s="2"/>
      <c r="D40" s="2"/>
      <c r="E40" s="2"/>
      <c r="F40" s="2"/>
      <c r="G40" s="2"/>
    </row>
    <row r="41" customFormat="false" ht="15" hidden="false" customHeight="false" outlineLevel="0" collapsed="false">
      <c r="A41" s="2" t="s">
        <v>49</v>
      </c>
      <c r="B41" s="2"/>
      <c r="C41" s="2"/>
      <c r="D41" s="2"/>
      <c r="E41" s="2"/>
      <c r="F41" s="2"/>
      <c r="G41" s="2"/>
    </row>
    <row r="42" customFormat="false" ht="15" hidden="false" customHeight="false" outlineLevel="0" collapsed="false">
      <c r="A42" s="2" t="s">
        <v>50</v>
      </c>
      <c r="B42" s="2"/>
      <c r="C42" s="2"/>
      <c r="D42" s="2"/>
      <c r="E42" s="2"/>
      <c r="F42" s="2"/>
      <c r="G42" s="2"/>
    </row>
  </sheetData>
  <mergeCells count="7">
    <mergeCell ref="A1:G1"/>
    <mergeCell ref="A2:G2"/>
    <mergeCell ref="A38:G38"/>
    <mergeCell ref="A39:G39"/>
    <mergeCell ref="A40:G40"/>
    <mergeCell ref="A41:G41"/>
    <mergeCell ref="A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2026-09-05T08:31:58Z</dcterms:created>
  <dc:creator>openpyxl</dc:creator>
  <dc:description/>
  <dc:language>en-US</dc:language>
  <cp:lastModifiedBy/>
  <dcterms:modified xsi:type="dcterms:W3CDTF">2026-09-05T08:31:58Z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
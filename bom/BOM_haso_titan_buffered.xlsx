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haso tit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<sst xmlns="http://schemas.openxmlformats.org/spreadsheetml/2006/main" count="87" uniqueCount="73">
  <si>
    <t xml:space="preserve">BOM — Haso Titan (India sourcing: Robu.in + Zerodrag) — buffered pricing</t>
  </si>
  <si>
    <t xml:space="preserve">Green = confirmed product/price. Purple = undecided small part, priced at the higher end for budget buffer. Amber = single-product estimate.</t>
  </si>
  <si>
    <t xml:space="preserve">Category</t>
  </si>
  <si>
    <t xml:space="preserve">Component</t>
  </si>
  <si>
    <t xml:space="preserve">Qty</t>
  </si>
  <si>
    <t xml:space="preserve">Unit Price (₹)</t>
  </si>
  <si>
    <t xml:space="preserve">Total Price (₹)</t>
  </si>
  <si>
    <t xml:space="preserve">Unit Mass (g)</t>
  </si>
  <si>
    <t xml:space="preserve">Total Mass (g)</t>
  </si>
  <si>
    <t xml:space="preserve">Vendor / Link</t>
  </si>
  <si>
    <t xml:space="preserve">Weapon System</t>
  </si>
  <si>
    <t xml:space="preserve">Surpass Hobby Rocket 4092 1250KV brushless motor</t>
  </si>
  <si>
    <t xml:space="preserve">Robu.in — robu.in/product/surpass-hobby-rocket-4092...</t>
  </si>
  <si>
    <t xml:space="preserve">HTD 5M pulley, motor side (5mm bore) — max size buffer</t>
  </si>
  <si>
    <t xml:space="preserve">Local machinist / Robu.in — —</t>
  </si>
  <si>
    <t xml:space="preserve">HTD 5M pulley, drum side — max size buffer</t>
  </si>
  <si>
    <t xml:space="preserve">Local machinist — —</t>
  </si>
  <si>
    <t xml:space="preserve">HTD 5M timing belt — max length buffer</t>
  </si>
  <si>
    <t xml:space="preserve">IndustryBuying / local — —</t>
  </si>
  <si>
    <t xml:space="preserve">Weapon shaft bearings, largest plausible size — buffer</t>
  </si>
  <si>
    <t xml:space="preserve">SKF India / Robu.in — emarketplace.in.skf.com</t>
  </si>
  <si>
    <t xml:space="preserve">Weapon shaft (hardened steel rod) — max size buffer</t>
  </si>
  <si>
    <t xml:space="preserve">Local steel supplier — —</t>
  </si>
  <si>
    <t xml:space="preserve">Weapon System subtotal</t>
  </si>
  <si>
    <t xml:space="preserve">Drivetrain (x2 sides)</t>
  </si>
  <si>
    <t xml:space="preserve">Zerodrag QPT 2807-1300KV brushless motor</t>
  </si>
  <si>
    <t xml:space="preserve">Zerodrag — zerodrag.in/collections/drone-motors</t>
  </si>
  <si>
    <t xml:space="preserve">EasyMech Heavy Duty 100mm Disc Wheel (4pc set)</t>
  </si>
  <si>
    <t xml:space="preserve">Robu.in — robu.in/product/heavy-dutyhd-disc-wheel-100mm-dia-4pc-grey-color/</t>
  </si>
  <si>
    <t xml:space="preserve">Wheel hub coupling — max size buffer</t>
  </si>
  <si>
    <t xml:space="preserve">Robu.in — robu.in</t>
  </si>
  <si>
    <t xml:space="preserve">Drive shaft bearings, largest plausible size — buffer</t>
  </si>
  <si>
    <t xml:space="preserve">Drive shaft (steel rod) — max size buffer</t>
  </si>
  <si>
    <t xml:space="preserve">Drivetrain (x2 sides) subtotal</t>
  </si>
  <si>
    <t xml:space="preserve">Electronics</t>
  </si>
  <si>
    <t xml:space="preserve">Zerodrag Boost AM32 55A 4-in-1 ESC (reversible/3D mode)</t>
  </si>
  <si>
    <t xml:space="preserve">Zerodrag — zerodrag.in/products/zerodrag-boost-am32-55a-4-in-1-esc</t>
  </si>
  <si>
    <t xml:space="preserve">FlySky FS-i6X (6CH) + FS-iA10B receiver</t>
  </si>
  <si>
    <t xml:space="preserve">Robu.in — st.robu.in/?p=33428</t>
  </si>
  <si>
    <t xml:space="preserve">Pro-Range 22.2V 3300mAh 35C 6S LiPo battery</t>
  </si>
  <si>
    <t xml:space="preserve">Robu.in — robu.in/product/orange-3300mah-6s-35c-22-2-v-lithium-polymer-battery-pack-li-po/</t>
  </si>
  <si>
    <t xml:space="preserve">Main power switch — max current rating buffer</t>
  </si>
  <si>
    <t xml:space="preserve">Weapon arming switch/link — max rating buffer</t>
  </si>
  <si>
    <t xml:space="preserve">BEC/UBEC 5-6V — higher current buffer</t>
  </si>
  <si>
    <t xml:space="preserve">Low-voltage alarm</t>
  </si>
  <si>
    <t xml:space="preserve">Electronics subtotal</t>
  </si>
  <si>
    <t xml:space="preserve">Wiring &amp; Connectors</t>
  </si>
  <si>
    <t xml:space="preserve">Silicone wire, 12-14AWG (power) — thicker gauge buffer</t>
  </si>
  <si>
    <t xml:space="preserve">Silicone wire, 22-26AWG (signal)</t>
  </si>
  <si>
    <t xml:space="preserve">XT90 connectors — higher current buffer</t>
  </si>
  <si>
    <t xml:space="preserve">Bullet connectors, largest size (5mm) — buffer</t>
  </si>
  <si>
    <t xml:space="preserve">Heat shrink tubing assortment</t>
  </si>
  <si>
    <t xml:space="preserve">Amazon.in — amazon.in</t>
  </si>
  <si>
    <t xml:space="preserve">Cable sleeving / wire loom</t>
  </si>
  <si>
    <t xml:space="preserve">Wiring &amp; Connectors subtotal</t>
  </si>
  <si>
    <t xml:space="preserve">Fasteners &amp; Misc</t>
  </si>
  <si>
    <t xml:space="preserve">Socket head cap screws, M3-M5 assortment — buffer</t>
  </si>
  <si>
    <t xml:space="preserve">Nyloc nuts, M3-M5 assortment — buffer</t>
  </si>
  <si>
    <t xml:space="preserve">Threadlocker (Loctite 243)</t>
  </si>
  <si>
    <t xml:space="preserve">Keyway stock — max size buffer</t>
  </si>
  <si>
    <t xml:space="preserve">Local hardware — —</t>
  </si>
  <si>
    <t xml:space="preserve">Fasteners &amp; Misc subtotal</t>
  </si>
  <si>
    <t xml:space="preserve">GRAND TOTAL (buffered)</t>
  </si>
  <si>
    <t xml:space="preserve">Total mass (kg) — excl. chassis + drum</t>
  </si>
  <si>
    <t xml:space="preserve">Notes</t>
  </si>
  <si>
    <t xml:space="preserve">Green = confirmed real product/price (Zerodrag QPT motors, Zerodrag AM32 ESC, FlySky combo).</t>
  </si>
  <si>
    <t xml:space="preserve">Purple = a part whose exact size isn't decided yet — priced at the higher end of its plausible range on</t>
  </si>
  <si>
    <t xml:space="preserve">purpose, so the budget already has headroom built in rather than needing revision upward later.</t>
  </si>
  <si>
    <t xml:space="preserve">Amber = a specific single product already picked, price not yet double-checked on the live listing.</t>
  </si>
  <si>
    <t xml:space="preserve">Single 6S battery powers everything through the shared Zerodrag 4-in-1 ESC (1 weapon channel +</t>
  </si>
  <si>
    <t xml:space="preserve">2 drive channels + 1 spare).</t>
  </si>
  <si>
    <t xml:space="preserve">This BOM excludes the chassis structure and drum body — those come from the separate dimensioned</t>
  </si>
  <si>
    <t xml:space="preserve">BOM once material and thickness are finalized.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</si>
</sst>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B7791F"/>
      <name val="Arial"/>
      <family val="0"/>
      <charset val="1"/>
    </font>
    <font>
      <sz val="11"/>
      <color rgb="FF0000FF"/>
      <name val="Arial"/>
      <family val="0"/>
      <charset val="1"/>
    </font>
    <font>
      <sz val="8"/>
      <color rgb="FF777777"/>
      <name val="Arial"/>
      <family val="0"/>
      <charset val="1"/>
    </font>
    <font>
      <i val="true"/>
      <sz val="11"/>
      <color rgb="FF7B4FA6"/>
      <name val="Arial"/>
      <family val="0"/>
      <charset val="1"/>
    </font>
    <font>
      <b val="true"/>
      <i val="true"/>
      <sz val="11"/>
      <name val="Arial"/>
      <family val="0"/>
      <charset val="1"/>
    </font>
    <font>
      <sz val="11"/>
      <color rgb="FF1E844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7B7B7"/>
      <rgbColor rgb="FF777777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B4FA6"/>
      <rgbColor rgb="FF969696"/>
      <rgbColor rgb="FF003366"/>
      <rgbColor rgb="FF1E8449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5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4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6" t="n">
        <v>1</v>
      </c>
      <c r="D5" s="7" t="n">
        <v>3500</v>
      </c>
      <c r="E5" s="8" t="n">
        <f aca="false">C5*D5</f>
        <v>3500</v>
      </c>
      <c r="F5" s="6" t="n">
        <v>480</v>
      </c>
      <c r="G5" s="8" t="n">
        <f aca="false">C5*F5</f>
        <v>480</v>
      </c>
      <c r="H5" s="9" t="s">
        <v>12</v>
      </c>
    </row>
    <row r="6" customFormat="false" ht="15" hidden="false" customHeight="false" outlineLevel="0" collapsed="false">
      <c r="A6" s="10"/>
      <c r="B6" s="11" t="s">
        <v>13</v>
      </c>
      <c r="C6" s="6" t="n">
        <v>1</v>
      </c>
      <c r="D6" s="7" t="n">
        <v>500</v>
      </c>
      <c r="E6" s="8" t="n">
        <f aca="false">C6*D6</f>
        <v>500</v>
      </c>
      <c r="F6" s="6" t="n">
        <v>45</v>
      </c>
      <c r="G6" s="8" t="n">
        <f aca="false">C6*F6</f>
        <v>45</v>
      </c>
      <c r="H6" s="9" t="s">
        <v>14</v>
      </c>
    </row>
    <row r="7" customFormat="false" ht="15" hidden="false" customHeight="false" outlineLevel="0" collapsed="false">
      <c r="A7" s="10"/>
      <c r="B7" s="11" t="s">
        <v>15</v>
      </c>
      <c r="C7" s="6" t="n">
        <v>1</v>
      </c>
      <c r="D7" s="7" t="n">
        <v>700</v>
      </c>
      <c r="E7" s="8" t="n">
        <f aca="false">C7*D7</f>
        <v>700</v>
      </c>
      <c r="F7" s="6" t="n">
        <v>110</v>
      </c>
      <c r="G7" s="8" t="n">
        <f aca="false">C7*F7</f>
        <v>110</v>
      </c>
      <c r="H7" s="9" t="s">
        <v>16</v>
      </c>
    </row>
    <row r="8" customFormat="false" ht="15" hidden="false" customHeight="false" outlineLevel="0" collapsed="false">
      <c r="A8" s="10"/>
      <c r="B8" s="11" t="s">
        <v>17</v>
      </c>
      <c r="C8" s="6" t="n">
        <v>1</v>
      </c>
      <c r="D8" s="7" t="n">
        <v>300</v>
      </c>
      <c r="E8" s="8" t="n">
        <f aca="false">C8*D8</f>
        <v>300</v>
      </c>
      <c r="F8" s="6" t="n">
        <v>35</v>
      </c>
      <c r="G8" s="8" t="n">
        <f aca="false">C8*F8</f>
        <v>35</v>
      </c>
      <c r="H8" s="9" t="s">
        <v>18</v>
      </c>
    </row>
    <row r="9" customFormat="false" ht="15" hidden="false" customHeight="false" outlineLevel="0" collapsed="false">
      <c r="A9" s="10"/>
      <c r="B9" s="11" t="s">
        <v>19</v>
      </c>
      <c r="C9" s="6" t="n">
        <v>2</v>
      </c>
      <c r="D9" s="7" t="n">
        <v>189</v>
      </c>
      <c r="E9" s="8" t="n">
        <f aca="false">C9*D9</f>
        <v>378</v>
      </c>
      <c r="F9" s="6" t="n">
        <v>20</v>
      </c>
      <c r="G9" s="8" t="n">
        <f aca="false">C9*F9</f>
        <v>40</v>
      </c>
      <c r="H9" s="9" t="s">
        <v>20</v>
      </c>
    </row>
    <row r="10" customFormat="false" ht="15" hidden="false" customHeight="false" outlineLevel="0" collapsed="false">
      <c r="A10" s="10"/>
      <c r="B10" s="11" t="s">
        <v>21</v>
      </c>
      <c r="C10" s="6" t="n">
        <v>1</v>
      </c>
      <c r="D10" s="7" t="n">
        <v>700</v>
      </c>
      <c r="E10" s="8" t="n">
        <f aca="false">C10*D10</f>
        <v>700</v>
      </c>
      <c r="F10" s="6" t="n">
        <v>180</v>
      </c>
      <c r="G10" s="8" t="n">
        <f aca="false">C10*F10</f>
        <v>180</v>
      </c>
      <c r="H10" s="9" t="s">
        <v>22</v>
      </c>
    </row>
    <row r="11" customFormat="false" ht="15" hidden="false" customHeight="false" outlineLevel="0" collapsed="false">
      <c r="A11" s="12"/>
      <c r="B11" s="13" t="s">
        <v>23</v>
      </c>
      <c r="C11" s="12"/>
      <c r="D11" s="12"/>
      <c r="E11" s="14" t="n">
        <f aca="false">SUM(E5:E10)</f>
        <v>6078</v>
      </c>
      <c r="F11" s="12"/>
      <c r="G11" s="14" t="n">
        <f aca="false">SUM(G5:G10)</f>
        <v>890</v>
      </c>
      <c r="H11" s="12"/>
    </row>
    <row r="12" customFormat="false" ht="15" hidden="false" customHeight="false" outlineLevel="0" collapsed="false">
      <c r="A12" s="4" t="s">
        <v>24</v>
      </c>
      <c r="B12" s="15" t="s">
        <v>25</v>
      </c>
      <c r="C12" s="6" t="n">
        <v>2</v>
      </c>
      <c r="D12" s="7" t="n">
        <v>1999</v>
      </c>
      <c r="E12" s="8" t="n">
        <f aca="false">C12*D12</f>
        <v>3998</v>
      </c>
      <c r="F12" s="6" t="n">
        <v>140</v>
      </c>
      <c r="G12" s="8" t="n">
        <f aca="false">C12*F12</f>
        <v>280</v>
      </c>
      <c r="H12" s="9" t="s">
        <v>26</v>
      </c>
    </row>
    <row r="13" customFormat="false" ht="15" hidden="false" customHeight="false" outlineLevel="0" collapsed="false">
      <c r="A13" s="10"/>
      <c r="B13" s="5" t="s">
        <v>27</v>
      </c>
      <c r="C13" s="6" t="n">
        <v>1</v>
      </c>
      <c r="D13" s="7" t="n">
        <v>1200</v>
      </c>
      <c r="E13" s="8" t="n">
        <f aca="false">C13*D13</f>
        <v>1200</v>
      </c>
      <c r="F13" s="6" t="n">
        <v>220</v>
      </c>
      <c r="G13" s="8" t="n">
        <f aca="false">C13*F13</f>
        <v>220</v>
      </c>
      <c r="H13" s="9" t="s">
        <v>28</v>
      </c>
    </row>
    <row r="14" customFormat="false" ht="15" hidden="false" customHeight="false" outlineLevel="0" collapsed="false">
      <c r="A14" s="10"/>
      <c r="B14" s="11" t="s">
        <v>29</v>
      </c>
      <c r="C14" s="6" t="n">
        <v>2</v>
      </c>
      <c r="D14" s="7" t="n">
        <v>400</v>
      </c>
      <c r="E14" s="8" t="n">
        <f aca="false">C14*D14</f>
        <v>800</v>
      </c>
      <c r="F14" s="6" t="n">
        <v>60</v>
      </c>
      <c r="G14" s="8" t="n">
        <f aca="false">C14*F14</f>
        <v>120</v>
      </c>
      <c r="H14" s="9" t="s">
        <v>30</v>
      </c>
    </row>
    <row r="15" customFormat="false" ht="15" hidden="false" customHeight="false" outlineLevel="0" collapsed="false">
      <c r="A15" s="10"/>
      <c r="B15" s="11" t="s">
        <v>31</v>
      </c>
      <c r="C15" s="6" t="n">
        <v>4</v>
      </c>
      <c r="D15" s="7" t="n">
        <v>189</v>
      </c>
      <c r="E15" s="8" t="n">
        <f aca="false">C15*D15</f>
        <v>756</v>
      </c>
      <c r="F15" s="6" t="n">
        <v>25</v>
      </c>
      <c r="G15" s="8" t="n">
        <f aca="false">C15*F15</f>
        <v>100</v>
      </c>
      <c r="H15" s="9" t="s">
        <v>20</v>
      </c>
    </row>
    <row r="16" customFormat="false" ht="15" hidden="false" customHeight="false" outlineLevel="0" collapsed="false">
      <c r="A16" s="10"/>
      <c r="B16" s="11" t="s">
        <v>32</v>
      </c>
      <c r="C16" s="6" t="n">
        <v>2</v>
      </c>
      <c r="D16" s="7" t="n">
        <v>300</v>
      </c>
      <c r="E16" s="8" t="n">
        <f aca="false">C16*D16</f>
        <v>600</v>
      </c>
      <c r="F16" s="6" t="n">
        <v>90</v>
      </c>
      <c r="G16" s="8" t="n">
        <f aca="false">C16*F16</f>
        <v>180</v>
      </c>
      <c r="H16" s="9" t="s">
        <v>22</v>
      </c>
    </row>
    <row r="17" customFormat="false" ht="15" hidden="false" customHeight="false" outlineLevel="0" collapsed="false">
      <c r="A17" s="12"/>
      <c r="B17" s="13" t="s">
        <v>33</v>
      </c>
      <c r="C17" s="12"/>
      <c r="D17" s="12"/>
      <c r="E17" s="14" t="n">
        <f aca="false">SUM(E12:E16)</f>
        <v>7354</v>
      </c>
      <c r="F17" s="12"/>
      <c r="G17" s="14" t="n">
        <f aca="false">SUM(G12:G16)</f>
        <v>900</v>
      </c>
      <c r="H17" s="12"/>
    </row>
    <row r="18" customFormat="false" ht="15" hidden="false" customHeight="false" outlineLevel="0" collapsed="false">
      <c r="A18" s="4" t="s">
        <v>34</v>
      </c>
      <c r="B18" s="15" t="s">
        <v>35</v>
      </c>
      <c r="C18" s="6" t="n">
        <v>1</v>
      </c>
      <c r="D18" s="7" t="n">
        <v>3500</v>
      </c>
      <c r="E18" s="8" t="n">
        <f aca="false">C18*D18</f>
        <v>3500</v>
      </c>
      <c r="F18" s="6" t="n">
        <v>45</v>
      </c>
      <c r="G18" s="8" t="n">
        <f aca="false">C18*F18</f>
        <v>45</v>
      </c>
      <c r="H18" s="9" t="s">
        <v>36</v>
      </c>
    </row>
    <row r="19" customFormat="false" ht="15" hidden="false" customHeight="false" outlineLevel="0" collapsed="false">
      <c r="A19" s="10"/>
      <c r="B19" s="15" t="s">
        <v>37</v>
      </c>
      <c r="C19" s="6" t="n">
        <v>1</v>
      </c>
      <c r="D19" s="7" t="n">
        <v>4699</v>
      </c>
      <c r="E19" s="8" t="n">
        <f aca="false">C19*D19</f>
        <v>4699</v>
      </c>
      <c r="F19" s="6" t="n">
        <v>260</v>
      </c>
      <c r="G19" s="8" t="n">
        <f aca="false">C19*F19</f>
        <v>260</v>
      </c>
      <c r="H19" s="9" t="s">
        <v>38</v>
      </c>
    </row>
    <row r="20" customFormat="false" ht="15" hidden="false" customHeight="false" outlineLevel="0" collapsed="false">
      <c r="A20" s="10"/>
      <c r="B20" s="5" t="s">
        <v>39</v>
      </c>
      <c r="C20" s="6" t="n">
        <v>1</v>
      </c>
      <c r="D20" s="7" t="n">
        <v>3200</v>
      </c>
      <c r="E20" s="8" t="n">
        <f aca="false">C20*D20</f>
        <v>3200</v>
      </c>
      <c r="F20" s="6" t="n">
        <v>420</v>
      </c>
      <c r="G20" s="8" t="n">
        <f aca="false">C20*F20</f>
        <v>420</v>
      </c>
      <c r="H20" s="9" t="s">
        <v>40</v>
      </c>
    </row>
    <row r="21" customFormat="false" ht="15" hidden="false" customHeight="false" outlineLevel="0" collapsed="false">
      <c r="A21" s="10"/>
      <c r="B21" s="11" t="s">
        <v>41</v>
      </c>
      <c r="C21" s="6" t="n">
        <v>1</v>
      </c>
      <c r="D21" s="7" t="n">
        <v>500</v>
      </c>
      <c r="E21" s="8" t="n">
        <f aca="false">C21*D21</f>
        <v>500</v>
      </c>
      <c r="F21" s="6" t="n">
        <v>25</v>
      </c>
      <c r="G21" s="8" t="n">
        <f aca="false">C21*F21</f>
        <v>25</v>
      </c>
      <c r="H21" s="9" t="s">
        <v>30</v>
      </c>
    </row>
    <row r="22" customFormat="false" ht="15" hidden="false" customHeight="false" outlineLevel="0" collapsed="false">
      <c r="A22" s="10"/>
      <c r="B22" s="11" t="s">
        <v>42</v>
      </c>
      <c r="C22" s="6" t="n">
        <v>1</v>
      </c>
      <c r="D22" s="7" t="n">
        <v>400</v>
      </c>
      <c r="E22" s="8" t="n">
        <f aca="false">C22*D22</f>
        <v>400</v>
      </c>
      <c r="F22" s="6" t="n">
        <v>15</v>
      </c>
      <c r="G22" s="8" t="n">
        <f aca="false">C22*F22</f>
        <v>15</v>
      </c>
      <c r="H22" s="9" t="s">
        <v>30</v>
      </c>
    </row>
    <row r="23" customFormat="false" ht="15" hidden="false" customHeight="false" outlineLevel="0" collapsed="false">
      <c r="A23" s="10"/>
      <c r="B23" s="11" t="s">
        <v>43</v>
      </c>
      <c r="C23" s="6" t="n">
        <v>1</v>
      </c>
      <c r="D23" s="7" t="n">
        <v>600</v>
      </c>
      <c r="E23" s="8" t="n">
        <f aca="false">C23*D23</f>
        <v>600</v>
      </c>
      <c r="F23" s="6" t="n">
        <v>15</v>
      </c>
      <c r="G23" s="8" t="n">
        <f aca="false">C23*F23</f>
        <v>15</v>
      </c>
      <c r="H23" s="9" t="s">
        <v>30</v>
      </c>
    </row>
    <row r="24" customFormat="false" ht="15" hidden="false" customHeight="false" outlineLevel="0" collapsed="false">
      <c r="A24" s="10"/>
      <c r="B24" s="5" t="s">
        <v>44</v>
      </c>
      <c r="C24" s="6" t="n">
        <v>1</v>
      </c>
      <c r="D24" s="7" t="n">
        <v>150</v>
      </c>
      <c r="E24" s="8" t="n">
        <f aca="false">C24*D24</f>
        <v>150</v>
      </c>
      <c r="F24" s="6" t="n">
        <v>5</v>
      </c>
      <c r="G24" s="8" t="n">
        <f aca="false">C24*F24</f>
        <v>5</v>
      </c>
      <c r="H24" s="9" t="s">
        <v>30</v>
      </c>
    </row>
    <row r="25" customFormat="false" ht="15" hidden="false" customHeight="false" outlineLevel="0" collapsed="false">
      <c r="A25" s="12"/>
      <c r="B25" s="13" t="s">
        <v>45</v>
      </c>
      <c r="C25" s="12"/>
      <c r="D25" s="12"/>
      <c r="E25" s="14" t="n">
        <f aca="false">SUM(E18:E24)</f>
        <v>13049</v>
      </c>
      <c r="F25" s="12"/>
      <c r="G25" s="14" t="n">
        <f aca="false">SUM(G18:G24)</f>
        <v>785</v>
      </c>
      <c r="H25" s="12"/>
    </row>
    <row r="26" customFormat="false" ht="15" hidden="false" customHeight="false" outlineLevel="0" collapsed="false">
      <c r="A26" s="4" t="s">
        <v>46</v>
      </c>
      <c r="B26" s="11" t="s">
        <v>47</v>
      </c>
      <c r="C26" s="6" t="n">
        <v>1</v>
      </c>
      <c r="D26" s="7" t="n">
        <v>900</v>
      </c>
      <c r="E26" s="8" t="n">
        <f aca="false">C26*D26</f>
        <v>900</v>
      </c>
      <c r="F26" s="6" t="n">
        <v>130</v>
      </c>
      <c r="G26" s="8" t="n">
        <f aca="false">C26*F26</f>
        <v>130</v>
      </c>
      <c r="H26" s="9" t="s">
        <v>30</v>
      </c>
    </row>
    <row r="27" customFormat="false" ht="15" hidden="false" customHeight="false" outlineLevel="0" collapsed="false">
      <c r="A27" s="10"/>
      <c r="B27" s="5" t="s">
        <v>48</v>
      </c>
      <c r="C27" s="6" t="n">
        <v>1</v>
      </c>
      <c r="D27" s="7" t="n">
        <v>150</v>
      </c>
      <c r="E27" s="8" t="n">
        <f aca="false">C27*D27</f>
        <v>150</v>
      </c>
      <c r="F27" s="6" t="n">
        <v>20</v>
      </c>
      <c r="G27" s="8" t="n">
        <f aca="false">C27*F27</f>
        <v>20</v>
      </c>
      <c r="H27" s="9" t="s">
        <v>30</v>
      </c>
    </row>
    <row r="28" customFormat="false" ht="15" hidden="false" customHeight="false" outlineLevel="0" collapsed="false">
      <c r="A28" s="10"/>
      <c r="B28" s="11" t="s">
        <v>49</v>
      </c>
      <c r="C28" s="6" t="n">
        <v>3</v>
      </c>
      <c r="D28" s="7" t="n">
        <v>100</v>
      </c>
      <c r="E28" s="8" t="n">
        <f aca="false">C28*D28</f>
        <v>300</v>
      </c>
      <c r="F28" s="6" t="n">
        <v>12</v>
      </c>
      <c r="G28" s="8" t="n">
        <f aca="false">C28*F28</f>
        <v>36</v>
      </c>
      <c r="H28" s="9" t="s">
        <v>30</v>
      </c>
    </row>
    <row r="29" customFormat="false" ht="15" hidden="false" customHeight="false" outlineLevel="0" collapsed="false">
      <c r="A29" s="10"/>
      <c r="B29" s="11" t="s">
        <v>50</v>
      </c>
      <c r="C29" s="6" t="n">
        <v>1</v>
      </c>
      <c r="D29" s="7" t="n">
        <v>400</v>
      </c>
      <c r="E29" s="8" t="n">
        <f aca="false">C29*D29</f>
        <v>400</v>
      </c>
      <c r="F29" s="6" t="n">
        <v>40</v>
      </c>
      <c r="G29" s="8" t="n">
        <f aca="false">C29*F29</f>
        <v>40</v>
      </c>
      <c r="H29" s="9" t="s">
        <v>30</v>
      </c>
    </row>
    <row r="30" customFormat="false" ht="15" hidden="false" customHeight="false" outlineLevel="0" collapsed="false">
      <c r="A30" s="10"/>
      <c r="B30" s="5" t="s">
        <v>51</v>
      </c>
      <c r="C30" s="6" t="n">
        <v>1</v>
      </c>
      <c r="D30" s="7" t="n">
        <v>150</v>
      </c>
      <c r="E30" s="8" t="n">
        <f aca="false">C30*D30</f>
        <v>150</v>
      </c>
      <c r="F30" s="6" t="n">
        <v>10</v>
      </c>
      <c r="G30" s="8" t="n">
        <f aca="false">C30*F30</f>
        <v>10</v>
      </c>
      <c r="H30" s="9" t="s">
        <v>52</v>
      </c>
    </row>
    <row r="31" customFormat="false" ht="15" hidden="false" customHeight="false" outlineLevel="0" collapsed="false">
      <c r="A31" s="10"/>
      <c r="B31" s="5" t="s">
        <v>53</v>
      </c>
      <c r="C31" s="6" t="n">
        <v>1</v>
      </c>
      <c r="D31" s="7" t="n">
        <v>200</v>
      </c>
      <c r="E31" s="8" t="n">
        <f aca="false">C31*D31</f>
        <v>200</v>
      </c>
      <c r="F31" s="6" t="n">
        <v>15</v>
      </c>
      <c r="G31" s="8" t="n">
        <f aca="false">C31*F31</f>
        <v>15</v>
      </c>
      <c r="H31" s="9" t="s">
        <v>52</v>
      </c>
    </row>
    <row r="32" customFormat="false" ht="15" hidden="false" customHeight="false" outlineLevel="0" collapsed="false">
      <c r="A32" s="12"/>
      <c r="B32" s="13" t="s">
        <v>54</v>
      </c>
      <c r="C32" s="12"/>
      <c r="D32" s="12"/>
      <c r="E32" s="14" t="n">
        <f aca="false">SUM(E26:E31)</f>
        <v>2100</v>
      </c>
      <c r="F32" s="12"/>
      <c r="G32" s="14" t="n">
        <f aca="false">SUM(G26:G31)</f>
        <v>251</v>
      </c>
      <c r="H32" s="12"/>
    </row>
    <row r="33" customFormat="false" ht="15" hidden="false" customHeight="false" outlineLevel="0" collapsed="false">
      <c r="A33" s="4" t="s">
        <v>55</v>
      </c>
      <c r="B33" s="11" t="s">
        <v>56</v>
      </c>
      <c r="C33" s="6" t="n">
        <v>1</v>
      </c>
      <c r="D33" s="7" t="n">
        <v>500</v>
      </c>
      <c r="E33" s="8" t="n">
        <f aca="false">C33*D33</f>
        <v>500</v>
      </c>
      <c r="F33" s="6" t="n">
        <v>80</v>
      </c>
      <c r="G33" s="8" t="n">
        <f aca="false">C33*F33</f>
        <v>80</v>
      </c>
      <c r="H33" s="9" t="s">
        <v>52</v>
      </c>
    </row>
    <row r="34" customFormat="false" ht="15" hidden="false" customHeight="false" outlineLevel="0" collapsed="false">
      <c r="A34" s="10"/>
      <c r="B34" s="11" t="s">
        <v>57</v>
      </c>
      <c r="C34" s="6" t="n">
        <v>1</v>
      </c>
      <c r="D34" s="7" t="n">
        <v>250</v>
      </c>
      <c r="E34" s="8" t="n">
        <f aca="false">C34*D34</f>
        <v>250</v>
      </c>
      <c r="F34" s="6" t="n">
        <v>25</v>
      </c>
      <c r="G34" s="8" t="n">
        <f aca="false">C34*F34</f>
        <v>25</v>
      </c>
      <c r="H34" s="9" t="s">
        <v>52</v>
      </c>
    </row>
    <row r="35" customFormat="false" ht="15" hidden="false" customHeight="false" outlineLevel="0" collapsed="false">
      <c r="A35" s="10"/>
      <c r="B35" s="15" t="s">
        <v>58</v>
      </c>
      <c r="C35" s="6" t="n">
        <v>1</v>
      </c>
      <c r="D35" s="7" t="n">
        <v>350</v>
      </c>
      <c r="E35" s="8" t="n">
        <f aca="false">C35*D35</f>
        <v>350</v>
      </c>
      <c r="F35" s="6" t="n">
        <v>30</v>
      </c>
      <c r="G35" s="8" t="n">
        <f aca="false">C35*F35</f>
        <v>30</v>
      </c>
      <c r="H35" s="9" t="s">
        <v>52</v>
      </c>
    </row>
    <row r="36" customFormat="false" ht="15" hidden="false" customHeight="false" outlineLevel="0" collapsed="false">
      <c r="A36" s="10"/>
      <c r="B36" s="11" t="s">
        <v>59</v>
      </c>
      <c r="C36" s="6" t="n">
        <v>1</v>
      </c>
      <c r="D36" s="7" t="n">
        <v>250</v>
      </c>
      <c r="E36" s="8" t="n">
        <f aca="false">C36*D36</f>
        <v>250</v>
      </c>
      <c r="F36" s="6" t="n">
        <v>15</v>
      </c>
      <c r="G36" s="8" t="n">
        <f aca="false">C36*F36</f>
        <v>15</v>
      </c>
      <c r="H36" s="9" t="s">
        <v>60</v>
      </c>
    </row>
    <row r="37" customFormat="false" ht="15" hidden="false" customHeight="false" outlineLevel="0" collapsed="false">
      <c r="A37" s="12"/>
      <c r="B37" s="13" t="s">
        <v>61</v>
      </c>
      <c r="C37" s="12"/>
      <c r="D37" s="12"/>
      <c r="E37" s="14" t="n">
        <f aca="false">SUM(E33:E36)</f>
        <v>1350</v>
      </c>
      <c r="F37" s="12"/>
      <c r="G37" s="14" t="n">
        <f aca="false">SUM(G33:G36)</f>
        <v>150</v>
      </c>
      <c r="H37" s="12"/>
    </row>
    <row r="39" customFormat="false" ht="15" hidden="false" customHeight="false" outlineLevel="0" collapsed="false">
      <c r="A39" s="16"/>
      <c r="B39" s="17" t="s">
        <v>62</v>
      </c>
      <c r="C39" s="16"/>
      <c r="D39" s="16"/>
      <c r="E39" s="18" t="n">
        <f aca="false">E11+E17+E25+E32+E37</f>
        <v>29931</v>
      </c>
      <c r="F39" s="16"/>
      <c r="G39" s="18" t="n">
        <f aca="false">G11+G17+G25+G32+G37</f>
        <v>2976</v>
      </c>
      <c r="H39" s="16"/>
    </row>
    <row r="40" customFormat="false" ht="15" hidden="false" customHeight="false" outlineLevel="0" collapsed="false">
      <c r="A40" s="10"/>
      <c r="B40" s="4" t="s">
        <v>63</v>
      </c>
      <c r="C40" s="10"/>
      <c r="D40" s="10"/>
      <c r="E40" s="10"/>
      <c r="F40" s="10"/>
      <c r="G40" s="19" t="n">
        <f aca="false">G39/1000</f>
        <v>2.976</v>
      </c>
      <c r="H40" s="10"/>
    </row>
    <row r="43" customFormat="false" ht="15" hidden="false" customHeight="false" outlineLevel="0" collapsed="false">
      <c r="A43" s="20" t="s">
        <v>64</v>
      </c>
    </row>
    <row r="44" customFormat="false" ht="15" hidden="false" customHeight="false" outlineLevel="0" collapsed="false">
      <c r="A44" s="2" t="s">
        <v>65</v>
      </c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2" t="s">
        <v>66</v>
      </c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2" t="s">
        <v>67</v>
      </c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2" t="s">
        <v>68</v>
      </c>
      <c r="B47" s="2"/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A48" s="2" t="s">
        <v>69</v>
      </c>
      <c r="B48" s="2"/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A49" s="2" t="s">
        <v>70</v>
      </c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2" t="s">
        <v>71</v>
      </c>
      <c r="B50" s="2"/>
      <c r="C50" s="2"/>
      <c r="D50" s="2"/>
      <c r="E50" s="2"/>
      <c r="F50" s="2"/>
      <c r="G50" s="2"/>
      <c r="H50" s="2"/>
    </row>
    <row r="51" customFormat="false" ht="15" hidden="false" customHeight="false" outlineLevel="0" collapsed="false">
      <c r="A51" s="2" t="s">
        <v>72</v>
      </c>
      <c r="B51" s="2"/>
      <c r="C51" s="2"/>
      <c r="D51" s="2"/>
      <c r="E51" s="2"/>
      <c r="F51" s="2"/>
      <c r="G51" s="2"/>
      <c r="H51" s="2"/>
    </row>
  </sheetData>
  <mergeCells count="10">
    <mergeCell ref="A1:H1"/>
    <mergeCell ref="A2:H2"/>
    <mergeCell ref="A44:H44"/>
    <mergeCell ref="A45:H45"/>
    <mergeCell ref="A46:H46"/>
    <mergeCell ref="A47:H47"/>
    <mergeCell ref="A48:H48"/>
    <mergeCell ref="A49:H49"/>
    <mergeCell ref="A50:H50"/>
    <mergeCell ref="A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2026-09-06T05:22:13Z</dcterms:created>
  <dc:creator>openpyxl</dc:creator>
  <dc:description/>
  <dc:language>en-US</dc:language>
  <cp:lastModifiedBy/>
  <dcterms:modified xsi:type="dcterms:W3CDTF">2026-09-06T05:22:13Z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
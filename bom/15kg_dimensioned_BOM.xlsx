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mensioned 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<sst xmlns="http://schemas.openxmlformats.org/spreadsheetml/2006/main" count="179" uniqueCount="135">
  <si>
    <t xml:space="preserve">15kg Robowar Bot — Dimensioned BOM for CNC (quadrant layout, Nitro-inspired)</t>
  </si>
  <si>
    <t xml:space="preserve">Green = confirmed real spec (Nitro build log / product datasheet). Amber = engineering estimate — confirm via load calc before cutting metal.</t>
  </si>
  <si>
    <t xml:space="preserve">Quadrant/Zone</t>
  </si>
  <si>
    <t xml:space="preserve">Component</t>
  </si>
  <si>
    <t xml:space="preserve">Material</t>
  </si>
  <si>
    <t xml:space="preserve">Key Dimensions (mm)</t>
  </si>
  <si>
    <t xml:space="preserve">Bearing / Shaft Spec</t>
  </si>
  <si>
    <t xml:space="preserve">Qty</t>
  </si>
  <si>
    <t xml:space="preserve">Mass (g)</t>
  </si>
  <si>
    <t xml:space="preserve">Source / Note</t>
  </si>
  <si>
    <t xml:space="preserve">Q4 — Weapon &amp; Drum</t>
  </si>
  <si>
    <t xml:space="preserve">Drum body</t>
  </si>
  <si>
    <t xml:space="preserve">4130 steel, heat-treated (soft temper)</t>
  </si>
  <si>
    <t xml:space="preserve">Ø140 x 150 long (finalize via kinetic energy calc)</t>
  </si>
  <si>
    <t xml:space="preserve">—</t>
  </si>
  <si>
    <t xml:space="preserve">Material choice direct from Nitro build log</t>
  </si>
  <si>
    <t xml:space="preserve">Weapon shaft</t>
  </si>
  <si>
    <t xml:space="preserve">4140/EN24 hardened steel</t>
  </si>
  <si>
    <t xml:space="preserve">Ø10 x 180 long, keyway 3x1.5mm</t>
  </si>
  <si>
    <t xml:space="preserve">6000ZZ (10x26x8mm), x2</t>
  </si>
  <si>
    <t xml:space="preserve">Nitro bent 2 shafts before switching to harder material — oversize this</t>
  </si>
  <si>
    <t xml:space="preserve">Weapon motor</t>
  </si>
  <si>
    <t xml:space="preserve">XTeam/Leopard 4092-class outrunner</t>
  </si>
  <si>
    <t xml:space="preserve">Ø40 x 92 long</t>
  </si>
  <si>
    <t xml:space="preserve">625ZZ (5x16x5mm) built-in, x2</t>
  </si>
  <si>
    <t xml:space="preserve">Leopard 4092 datasheet — same class as Nitro's XTeam 4092</t>
  </si>
  <si>
    <t xml:space="preserve">Motor shock mount pads</t>
  </si>
  <si>
    <t xml:space="preserve">TPU (3D printed)</t>
  </si>
  <si>
    <t xml:space="preserve">4x pads, ~30x20x6 each</t>
  </si>
  <si>
    <t xml:space="preserve">Direct from Nitro build log — isolates motor from impact shock</t>
  </si>
  <si>
    <t xml:space="preserve">Weapon pulley (motor side)</t>
  </si>
  <si>
    <t xml:space="preserve">Aluminum, HTD 5M</t>
  </si>
  <si>
    <t xml:space="preserve">Ø30 bore 5mm</t>
  </si>
  <si>
    <t xml:space="preserve">Matches 5mm motor shaft</t>
  </si>
  <si>
    <t xml:space="preserve">Weapon pulley (drum side)</t>
  </si>
  <si>
    <t xml:space="preserve">Ø70 bore 10mm</t>
  </si>
  <si>
    <t xml:space="preserve">Sized for reduction ratio — confirm via RPM calc</t>
  </si>
  <si>
    <t xml:space="preserve">HTD 5M belt</t>
  </si>
  <si>
    <t xml:space="preserve">Rubber/fiberglass</t>
  </si>
  <si>
    <t xml:space="preserve">Length per final center distance</t>
  </si>
  <si>
    <t xml:space="preserve">Estimate</t>
  </si>
  <si>
    <t xml:space="preserve">Drum containment plate</t>
  </si>
  <si>
    <t xml:space="preserve">Hardox 400</t>
  </si>
  <si>
    <t xml:space="preserve">200 x 150 x 6 thick</t>
  </si>
  <si>
    <t xml:space="preserve">Estimate — behind striking arc</t>
  </si>
  <si>
    <t xml:space="preserve">Q4 — Weapon &amp; Drum — mass subtotal (g)</t>
  </si>
  <si>
    <t xml:space="preserve">Q1/Q2 — Drive Pods (x2, symmetric)</t>
  </si>
  <si>
    <t xml:space="preserve">Drive motor</t>
  </si>
  <si>
    <t xml:space="preserve">5045-class outrunner</t>
  </si>
  <si>
    <t xml:space="preserve">Ø50 x 45 long</t>
  </si>
  <si>
    <t xml:space="preserve">Built-in, confirm size</t>
  </si>
  <si>
    <t xml:space="preserve">Matches Nitro's 5045 outrunner choice</t>
  </si>
  <si>
    <t xml:space="preserve">Drive shaft</t>
  </si>
  <si>
    <t xml:space="preserve">4140 steel</t>
  </si>
  <si>
    <t xml:space="preserve">Ø8 x 60 long</t>
  </si>
  <si>
    <t xml:space="preserve">6001ZZ (12x28x8mm), x2 per side</t>
  </si>
  <si>
    <t xml:space="preserve">Estimate — confirm against wheel bushing bore</t>
  </si>
  <si>
    <t xml:space="preserve">Wheel bushing (McMaster-style)</t>
  </si>
  <si>
    <t xml:space="preserve">Polymer/composite bushing</t>
  </si>
  <si>
    <t xml:space="preserve">Ø100 OD, per McMaster catalog bore</t>
  </si>
  <si>
    <t xml:space="preserve">N/A — bushing IS the bearing surface</t>
  </si>
  <si>
    <t xml:space="preserve">Direct from Nitro build log — thin heavyweight-style bushing</t>
  </si>
  <si>
    <t xml:space="preserve">Wheel hub</t>
  </si>
  <si>
    <t xml:space="preserve">Aluminum</t>
  </si>
  <si>
    <t xml:space="preserve">Ø40 x 15 thick</t>
  </si>
  <si>
    <t xml:space="preserve">Drive pulley (motor side)</t>
  </si>
  <si>
    <t xml:space="preserve">Ø25 bore 8mm</t>
  </si>
  <si>
    <t xml:space="preserve">Drive pulley (wheel side)</t>
  </si>
  <si>
    <t xml:space="preserve">3D printed (Nitro used this)</t>
  </si>
  <si>
    <t xml:space="preserve">Ø90 bore 40mm</t>
  </si>
  <si>
    <t xml:space="preserve">Direct from Nitro build log</t>
  </si>
  <si>
    <t xml:space="preserve">HTD 5M drive belt</t>
  </si>
  <si>
    <t xml:space="preserve">4x pads per side, ~25x18x6</t>
  </si>
  <si>
    <t xml:space="preserve">Direct from Nitro build log — same shock isolation as weapon motor</t>
  </si>
  <si>
    <t xml:space="preserve">Q1/Q2 — Drive Pods (x2, symmetric) — mass subtotal (g)</t>
  </si>
  <si>
    <t xml:space="preserve">Q3 — Batteries &amp; Power</t>
  </si>
  <si>
    <t xml:space="preserve">Weapon battery</t>
  </si>
  <si>
    <t xml:space="preserve">8S LiPo</t>
  </si>
  <si>
    <t xml:space="preserve">~110 x 45 x 35 (confirm exact model)</t>
  </si>
  <si>
    <t xml:space="preserve">Sized to ~half the mass of one drive motor per your spec</t>
  </si>
  <si>
    <t xml:space="preserve">Drive battery</t>
  </si>
  <si>
    <t xml:space="preserve">Same size class — powers both drive motors</t>
  </si>
  <si>
    <t xml:space="preserve">Battery tray / strap mount</t>
  </si>
  <si>
    <t xml:space="preserve">Aluminum + hook-and-loop strap</t>
  </si>
  <si>
    <t xml:space="preserve">Sized to battery footprint + 5mm clearance</t>
  </si>
  <si>
    <t xml:space="preserve">Q3 — Batteries &amp; Power — mass subtotal (g)</t>
  </si>
  <si>
    <t xml:space="preserve">Chassis Structure</t>
  </si>
  <si>
    <t xml:space="preserve">Top shell plate</t>
  </si>
  <si>
    <t xml:space="preserve">6061 aluminum</t>
  </si>
  <si>
    <t xml:space="preserve">380 x 320 x 4 thick</t>
  </si>
  <si>
    <t xml:space="preserve">Estimate — scale from earlier weight budget</t>
  </si>
  <si>
    <t xml:space="preserve">Bottom chassis plate</t>
  </si>
  <si>
    <t xml:space="preserve">Side panel (wedge-tapered)</t>
  </si>
  <si>
    <t xml:space="preserve">6061 aluminum, 4-6mm</t>
  </si>
  <si>
    <t xml:space="preserve">380 long x 120 tall x 4 thick</t>
  </si>
  <si>
    <t xml:space="preserve">Estimate per panel</t>
  </si>
  <si>
    <t xml:space="preserve">Front/rear wedge armor (bolt-on wear edge)</t>
  </si>
  <si>
    <t xml:space="preserve">180 x 90 x 6 thick</t>
  </si>
  <si>
    <t xml:space="preserve">Bolt-on replaceable, per earlier design discussion</t>
  </si>
  <si>
    <t xml:space="preserve">Chassis Structure — mass subtotal (g)</t>
  </si>
  <si>
    <t xml:space="preserve">Electronics Compartment</t>
  </si>
  <si>
    <t xml:space="preserve">Electronics tray/enclosure</t>
  </si>
  <si>
    <t xml:space="preserve">3mm HDPE or aluminum</t>
  </si>
  <si>
    <t xml:space="preserve">150 x 100 x 40 internal cavity</t>
  </si>
  <si>
    <t xml:space="preserve">Houses both ESCs, receiver, BEC — size to component stack</t>
  </si>
  <si>
    <t xml:space="preserve">Compartment lid (access panel)</t>
  </si>
  <si>
    <t xml:space="preserve">150 x 100 x 3</t>
  </si>
  <si>
    <t xml:space="preserve">Thumb-screw or flush-mount fasteners for field access</t>
  </si>
  <si>
    <t xml:space="preserve">Standoffs (PCB/receiver mounting)</t>
  </si>
  <si>
    <t xml:space="preserve">Nylon or aluminum</t>
  </si>
  <si>
    <t xml:space="preserve">M3 x 10mm</t>
  </si>
  <si>
    <t xml:space="preserve">Electronics Compartment — mass subtotal (g)</t>
  </si>
  <si>
    <t xml:space="preserve">Fasteners &amp; Misc</t>
  </si>
  <si>
    <t xml:space="preserve">Socket head cap screws, assorted</t>
  </si>
  <si>
    <t xml:space="preserve">Stainless/steel, M3-M5</t>
  </si>
  <si>
    <t xml:space="preserve">Various lengths</t>
  </si>
  <si>
    <t xml:space="preserve">Estimate lump</t>
  </si>
  <si>
    <t xml:space="preserve">Nyloc nuts, assorted</t>
  </si>
  <si>
    <t xml:space="preserve">Keyway stock</t>
  </si>
  <si>
    <t xml:space="preserve">Steel</t>
  </si>
  <si>
    <t xml:space="preserve">3 x 3 x 20mm pieces</t>
  </si>
  <si>
    <t xml:space="preserve">For weapon + drive shaft keying</t>
  </si>
  <si>
    <t xml:space="preserve">Fasteners &amp; Misc — mass subtotal (g)</t>
  </si>
  <si>
    <t xml:space="preserve">TOTAL MASS (g)</t>
  </si>
  <si>
    <t xml:space="preserve">TOTAL MASS (kg) / 15kg limit</t>
  </si>
  <si>
    <t xml:space="preserve">Notes</t>
  </si>
  <si>
    <t xml:space="preserve">Green = a real, confirmed spec (from Nitro's own build log, or a matching product datasheet — e.g. the</t>
  </si>
  <si>
    <t xml:space="preserve">Leopard 4092 motor spec stands in for the XTeam 4092 Nitro used, same 40x92mm outrunner class).</t>
  </si>
  <si>
    <t xml:space="preserve">Amber = an engineering estimate for a dimension not yet load-calculated — treat these as starting points</t>
  </si>
  <si>
    <t xml:space="preserve">for your CAD, not final CNC-ready numbers. Confirm shaft diameters against actual torque/impact loads.</t>
  </si>
  <si>
    <t xml:space="preserve">Bearing part numbers use standard metric deep-groove ball bearing sizing (e.g. 625ZZ = 5mm bore,</t>
  </si>
  <si>
    <t xml:space="preserve">16mm OD, 5mm width) — verify against your actual shaft diameter once finalized.</t>
  </si>
  <si>
    <t xml:space="preserve">Nitro's own experience: bolted motor mounts stripped under impact (add keying), deep-groove drum</t>
  </si>
  <si>
    <t xml:space="preserve">bearings failed within one event (they moved to taper-roller), and weapon shafts bent twice before a</t>
  </si>
  <si>
    <t xml:space="preserve">harder material was used — budget for these as known failure points, not hypotheticals.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</si>
</sst>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11"/>
      <color rgb="FF000000"/>
      <name val="Arial"/>
      <family val="0"/>
      <charset val="1"/>
    </font>
    <font>
      <sz val="9"/>
      <name val="Arial"/>
      <family val="0"/>
      <charset val="1"/>
    </font>
    <font>
      <sz val="11"/>
      <color rgb="FF1E8449"/>
      <name val="Arial"/>
      <family val="0"/>
      <charset val="1"/>
    </font>
    <font>
      <sz val="9"/>
      <color rgb="FF777777"/>
      <name val="Arial"/>
      <family val="0"/>
      <charset val="1"/>
    </font>
    <font>
      <sz val="11"/>
      <color rgb="FF0000FF"/>
      <name val="Arial"/>
      <family val="0"/>
      <charset val="1"/>
    </font>
    <font>
      <sz val="8.5"/>
      <color rgb="FF777777"/>
      <name val="Arial"/>
      <family val="0"/>
      <charset val="1"/>
    </font>
    <font>
      <i val="true"/>
      <sz val="11"/>
      <color rgb="FFB7791F"/>
      <name val="Arial"/>
      <family val="0"/>
      <charset val="1"/>
    </font>
    <font>
      <sz val="9"/>
      <color rgb="FF1E8449"/>
      <name val="Arial"/>
      <family val="0"/>
      <charset val="1"/>
    </font>
    <font>
      <b val="true"/>
      <i val="true"/>
      <sz val="11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CE4D6"/>
      </patternFill>
    </fill>
    <fill>
      <patternFill patternType="solid">
        <fgColor rgb="FFFCE4D6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1F"/>
      <rgbColor rgb="FF800080"/>
      <rgbColor rgb="FF008080"/>
      <rgbColor rgb="FFB7B7B7"/>
      <rgbColor rgb="FF777777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1E8449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24"/>
    <col collapsed="false" customWidth="true" hidden="false" outlineLevel="0" max="6" min="6" style="0" width="5"/>
    <col collapsed="false" customWidth="true" hidden="false" outlineLevel="0" max="7" min="7" style="0" width="10"/>
    <col collapsed="false" customWidth="true" hidden="false" outlineLevel="0" max="8" min="8" style="0" width="30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5" t="s">
        <v>11</v>
      </c>
      <c r="C5" s="6" t="s">
        <v>12</v>
      </c>
      <c r="D5" s="7" t="s">
        <v>13</v>
      </c>
      <c r="E5" s="8" t="s">
        <v>14</v>
      </c>
      <c r="F5" s="9" t="n">
        <v>1</v>
      </c>
      <c r="G5" s="10" t="n">
        <v>1400</v>
      </c>
      <c r="H5" s="11" t="s">
        <v>15</v>
      </c>
    </row>
    <row r="6" customFormat="false" ht="15" hidden="false" customHeight="false" outlineLevel="0" collapsed="false">
      <c r="A6" s="12"/>
      <c r="B6" s="5" t="s">
        <v>16</v>
      </c>
      <c r="C6" s="6" t="s">
        <v>17</v>
      </c>
      <c r="D6" s="13" t="s">
        <v>18</v>
      </c>
      <c r="E6" s="14" t="s">
        <v>19</v>
      </c>
      <c r="F6" s="9" t="n">
        <v>1</v>
      </c>
      <c r="G6" s="10" t="n">
        <v>120</v>
      </c>
      <c r="H6" s="11" t="s">
        <v>20</v>
      </c>
    </row>
    <row r="7" customFormat="false" ht="15" hidden="false" customHeight="false" outlineLevel="0" collapsed="false">
      <c r="A7" s="12"/>
      <c r="B7" s="5" t="s">
        <v>21</v>
      </c>
      <c r="C7" s="6" t="s">
        <v>22</v>
      </c>
      <c r="D7" s="7" t="s">
        <v>23</v>
      </c>
      <c r="E7" s="14" t="s">
        <v>24</v>
      </c>
      <c r="F7" s="9" t="n">
        <v>1</v>
      </c>
      <c r="G7" s="10" t="n">
        <v>492</v>
      </c>
      <c r="H7" s="11" t="s">
        <v>25</v>
      </c>
    </row>
    <row r="8" customFormat="false" ht="15" hidden="false" customHeight="false" outlineLevel="0" collapsed="false">
      <c r="A8" s="12"/>
      <c r="B8" s="5" t="s">
        <v>26</v>
      </c>
      <c r="C8" s="6" t="s">
        <v>27</v>
      </c>
      <c r="D8" s="7" t="s">
        <v>28</v>
      </c>
      <c r="E8" s="8" t="s">
        <v>14</v>
      </c>
      <c r="F8" s="9" t="n">
        <v>4</v>
      </c>
      <c r="G8" s="10" t="n">
        <v>40</v>
      </c>
      <c r="H8" s="11" t="s">
        <v>29</v>
      </c>
    </row>
    <row r="9" customFormat="false" ht="15" hidden="false" customHeight="false" outlineLevel="0" collapsed="false">
      <c r="A9" s="12"/>
      <c r="B9" s="5" t="s">
        <v>30</v>
      </c>
      <c r="C9" s="6" t="s">
        <v>31</v>
      </c>
      <c r="D9" s="13" t="s">
        <v>32</v>
      </c>
      <c r="E9" s="8" t="s">
        <v>14</v>
      </c>
      <c r="F9" s="9" t="n">
        <v>1</v>
      </c>
      <c r="G9" s="10" t="n">
        <v>35</v>
      </c>
      <c r="H9" s="11" t="s">
        <v>33</v>
      </c>
    </row>
    <row r="10" customFormat="false" ht="15" hidden="false" customHeight="false" outlineLevel="0" collapsed="false">
      <c r="A10" s="12"/>
      <c r="B10" s="5" t="s">
        <v>34</v>
      </c>
      <c r="C10" s="6" t="s">
        <v>31</v>
      </c>
      <c r="D10" s="13" t="s">
        <v>35</v>
      </c>
      <c r="E10" s="8" t="s">
        <v>14</v>
      </c>
      <c r="F10" s="9" t="n">
        <v>1</v>
      </c>
      <c r="G10" s="10" t="n">
        <v>90</v>
      </c>
      <c r="H10" s="11" t="s">
        <v>36</v>
      </c>
    </row>
    <row r="11" customFormat="false" ht="15" hidden="false" customHeight="false" outlineLevel="0" collapsed="false">
      <c r="A11" s="12"/>
      <c r="B11" s="5" t="s">
        <v>37</v>
      </c>
      <c r="C11" s="6" t="s">
        <v>38</v>
      </c>
      <c r="D11" s="13" t="s">
        <v>39</v>
      </c>
      <c r="E11" s="8" t="s">
        <v>14</v>
      </c>
      <c r="F11" s="9" t="n">
        <v>1</v>
      </c>
      <c r="G11" s="10" t="n">
        <v>25</v>
      </c>
      <c r="H11" s="11" t="s">
        <v>40</v>
      </c>
    </row>
    <row r="12" customFormat="false" ht="15" hidden="false" customHeight="false" outlineLevel="0" collapsed="false">
      <c r="A12" s="12"/>
      <c r="B12" s="5" t="s">
        <v>41</v>
      </c>
      <c r="C12" s="6" t="s">
        <v>42</v>
      </c>
      <c r="D12" s="13" t="s">
        <v>43</v>
      </c>
      <c r="E12" s="8" t="s">
        <v>14</v>
      </c>
      <c r="F12" s="9" t="n">
        <v>1</v>
      </c>
      <c r="G12" s="10" t="n">
        <v>700</v>
      </c>
      <c r="H12" s="11" t="s">
        <v>44</v>
      </c>
    </row>
    <row r="13" customFormat="false" ht="15" hidden="false" customHeight="false" outlineLevel="0" collapsed="false">
      <c r="A13" s="15"/>
      <c r="B13" s="16" t="s">
        <v>45</v>
      </c>
      <c r="C13" s="15"/>
      <c r="D13" s="15"/>
      <c r="E13" s="15"/>
      <c r="F13" s="15"/>
      <c r="G13" s="17" t="n">
        <f aca="false">SUMPRODUCT(F5:F12,G5:G12)</f>
        <v>3022</v>
      </c>
      <c r="H13" s="15"/>
    </row>
    <row r="14" customFormat="false" ht="15" hidden="false" customHeight="false" outlineLevel="0" collapsed="false">
      <c r="A14" s="4" t="s">
        <v>46</v>
      </c>
      <c r="B14" s="5" t="s">
        <v>47</v>
      </c>
      <c r="C14" s="6" t="s">
        <v>48</v>
      </c>
      <c r="D14" s="13" t="s">
        <v>49</v>
      </c>
      <c r="E14" s="14" t="s">
        <v>50</v>
      </c>
      <c r="F14" s="9" t="n">
        <v>2</v>
      </c>
      <c r="G14" s="10" t="n">
        <v>380</v>
      </c>
      <c r="H14" s="11" t="s">
        <v>51</v>
      </c>
    </row>
    <row r="15" customFormat="false" ht="15" hidden="false" customHeight="false" outlineLevel="0" collapsed="false">
      <c r="A15" s="12"/>
      <c r="B15" s="5" t="s">
        <v>52</v>
      </c>
      <c r="C15" s="6" t="s">
        <v>53</v>
      </c>
      <c r="D15" s="13" t="s">
        <v>54</v>
      </c>
      <c r="E15" s="14" t="s">
        <v>55</v>
      </c>
      <c r="F15" s="9" t="n">
        <v>2</v>
      </c>
      <c r="G15" s="10" t="n">
        <v>60</v>
      </c>
      <c r="H15" s="11" t="s">
        <v>56</v>
      </c>
    </row>
    <row r="16" customFormat="false" ht="15" hidden="false" customHeight="false" outlineLevel="0" collapsed="false">
      <c r="A16" s="12"/>
      <c r="B16" s="5" t="s">
        <v>57</v>
      </c>
      <c r="C16" s="6" t="s">
        <v>58</v>
      </c>
      <c r="D16" s="13" t="s">
        <v>59</v>
      </c>
      <c r="E16" s="8" t="s">
        <v>60</v>
      </c>
      <c r="F16" s="9" t="n">
        <v>2</v>
      </c>
      <c r="G16" s="10" t="n">
        <v>180</v>
      </c>
      <c r="H16" s="11" t="s">
        <v>61</v>
      </c>
    </row>
    <row r="17" customFormat="false" ht="15" hidden="false" customHeight="false" outlineLevel="0" collapsed="false">
      <c r="A17" s="12"/>
      <c r="B17" s="5" t="s">
        <v>62</v>
      </c>
      <c r="C17" s="6" t="s">
        <v>63</v>
      </c>
      <c r="D17" s="13" t="s">
        <v>64</v>
      </c>
      <c r="E17" s="8" t="s">
        <v>14</v>
      </c>
      <c r="F17" s="9" t="n">
        <v>2</v>
      </c>
      <c r="G17" s="10" t="n">
        <v>60</v>
      </c>
      <c r="H17" s="11" t="s">
        <v>40</v>
      </c>
    </row>
    <row r="18" customFormat="false" ht="15" hidden="false" customHeight="false" outlineLevel="0" collapsed="false">
      <c r="A18" s="12"/>
      <c r="B18" s="5" t="s">
        <v>65</v>
      </c>
      <c r="C18" s="6" t="s">
        <v>31</v>
      </c>
      <c r="D18" s="13" t="s">
        <v>66</v>
      </c>
      <c r="E18" s="8" t="s">
        <v>14</v>
      </c>
      <c r="F18" s="9" t="n">
        <v>2</v>
      </c>
      <c r="G18" s="10" t="n">
        <v>25</v>
      </c>
      <c r="H18" s="11" t="s">
        <v>40</v>
      </c>
    </row>
    <row r="19" customFormat="false" ht="15" hidden="false" customHeight="false" outlineLevel="0" collapsed="false">
      <c r="A19" s="12"/>
      <c r="B19" s="5" t="s">
        <v>67</v>
      </c>
      <c r="C19" s="6" t="s">
        <v>68</v>
      </c>
      <c r="D19" s="13" t="s">
        <v>69</v>
      </c>
      <c r="E19" s="8" t="s">
        <v>14</v>
      </c>
      <c r="F19" s="9" t="n">
        <v>2</v>
      </c>
      <c r="G19" s="10" t="n">
        <v>40</v>
      </c>
      <c r="H19" s="11" t="s">
        <v>70</v>
      </c>
    </row>
    <row r="20" customFormat="false" ht="15" hidden="false" customHeight="false" outlineLevel="0" collapsed="false">
      <c r="A20" s="12"/>
      <c r="B20" s="5" t="s">
        <v>71</v>
      </c>
      <c r="C20" s="6" t="s">
        <v>38</v>
      </c>
      <c r="D20" s="13" t="s">
        <v>39</v>
      </c>
      <c r="E20" s="8" t="s">
        <v>14</v>
      </c>
      <c r="F20" s="9" t="n">
        <v>2</v>
      </c>
      <c r="G20" s="10" t="n">
        <v>20</v>
      </c>
      <c r="H20" s="11" t="s">
        <v>40</v>
      </c>
    </row>
    <row r="21" customFormat="false" ht="15" hidden="false" customHeight="false" outlineLevel="0" collapsed="false">
      <c r="A21" s="12"/>
      <c r="B21" s="5" t="s">
        <v>26</v>
      </c>
      <c r="C21" s="6" t="s">
        <v>27</v>
      </c>
      <c r="D21" s="13" t="s">
        <v>72</v>
      </c>
      <c r="E21" s="8" t="s">
        <v>14</v>
      </c>
      <c r="F21" s="9" t="n">
        <v>8</v>
      </c>
      <c r="G21" s="10" t="n">
        <v>15</v>
      </c>
      <c r="H21" s="11" t="s">
        <v>73</v>
      </c>
    </row>
    <row r="22" customFormat="false" ht="15" hidden="false" customHeight="false" outlineLevel="0" collapsed="false">
      <c r="A22" s="15"/>
      <c r="B22" s="16" t="s">
        <v>74</v>
      </c>
      <c r="C22" s="15"/>
      <c r="D22" s="15"/>
      <c r="E22" s="15"/>
      <c r="F22" s="15"/>
      <c r="G22" s="17" t="n">
        <f aca="false">SUMPRODUCT(F14:F21,G14:G21)</f>
        <v>1650</v>
      </c>
      <c r="H22" s="15"/>
    </row>
    <row r="23" customFormat="false" ht="15" hidden="false" customHeight="false" outlineLevel="0" collapsed="false">
      <c r="A23" s="4" t="s">
        <v>75</v>
      </c>
      <c r="B23" s="5" t="s">
        <v>76</v>
      </c>
      <c r="C23" s="6" t="s">
        <v>77</v>
      </c>
      <c r="D23" s="13" t="s">
        <v>78</v>
      </c>
      <c r="E23" s="8" t="s">
        <v>14</v>
      </c>
      <c r="F23" s="9" t="n">
        <v>1</v>
      </c>
      <c r="G23" s="10" t="n">
        <v>700</v>
      </c>
      <c r="H23" s="11" t="s">
        <v>79</v>
      </c>
    </row>
    <row r="24" customFormat="false" ht="15" hidden="false" customHeight="false" outlineLevel="0" collapsed="false">
      <c r="A24" s="12"/>
      <c r="B24" s="5" t="s">
        <v>80</v>
      </c>
      <c r="C24" s="6" t="s">
        <v>77</v>
      </c>
      <c r="D24" s="13" t="s">
        <v>78</v>
      </c>
      <c r="E24" s="8" t="s">
        <v>14</v>
      </c>
      <c r="F24" s="9" t="n">
        <v>1</v>
      </c>
      <c r="G24" s="10" t="n">
        <v>700</v>
      </c>
      <c r="H24" s="11" t="s">
        <v>81</v>
      </c>
    </row>
    <row r="25" customFormat="false" ht="15" hidden="false" customHeight="false" outlineLevel="0" collapsed="false">
      <c r="A25" s="12"/>
      <c r="B25" s="5" t="s">
        <v>82</v>
      </c>
      <c r="C25" s="6" t="s">
        <v>83</v>
      </c>
      <c r="D25" s="13" t="s">
        <v>84</v>
      </c>
      <c r="E25" s="8" t="s">
        <v>14</v>
      </c>
      <c r="F25" s="9" t="n">
        <v>1</v>
      </c>
      <c r="G25" s="10" t="n">
        <v>60</v>
      </c>
      <c r="H25" s="11" t="s">
        <v>40</v>
      </c>
    </row>
    <row r="26" customFormat="false" ht="15" hidden="false" customHeight="false" outlineLevel="0" collapsed="false">
      <c r="A26" s="15"/>
      <c r="B26" s="16" t="s">
        <v>85</v>
      </c>
      <c r="C26" s="15"/>
      <c r="D26" s="15"/>
      <c r="E26" s="15"/>
      <c r="F26" s="15"/>
      <c r="G26" s="17" t="n">
        <f aca="false">SUMPRODUCT(F23:F25,G23:G25)</f>
        <v>1460</v>
      </c>
      <c r="H26" s="15"/>
    </row>
    <row r="27" customFormat="false" ht="15" hidden="false" customHeight="false" outlineLevel="0" collapsed="false">
      <c r="A27" s="4" t="s">
        <v>86</v>
      </c>
      <c r="B27" s="5" t="s">
        <v>87</v>
      </c>
      <c r="C27" s="6" t="s">
        <v>88</v>
      </c>
      <c r="D27" s="13" t="s">
        <v>89</v>
      </c>
      <c r="E27" s="8" t="s">
        <v>14</v>
      </c>
      <c r="F27" s="9" t="n">
        <v>1</v>
      </c>
      <c r="G27" s="10" t="n">
        <v>1310</v>
      </c>
      <c r="H27" s="11" t="s">
        <v>90</v>
      </c>
    </row>
    <row r="28" customFormat="false" ht="15" hidden="false" customHeight="false" outlineLevel="0" collapsed="false">
      <c r="A28" s="12"/>
      <c r="B28" s="5" t="s">
        <v>91</v>
      </c>
      <c r="C28" s="6" t="s">
        <v>88</v>
      </c>
      <c r="D28" s="13" t="s">
        <v>89</v>
      </c>
      <c r="E28" s="8" t="s">
        <v>14</v>
      </c>
      <c r="F28" s="9" t="n">
        <v>1</v>
      </c>
      <c r="G28" s="10" t="n">
        <v>1310</v>
      </c>
      <c r="H28" s="11" t="s">
        <v>40</v>
      </c>
    </row>
    <row r="29" customFormat="false" ht="15" hidden="false" customHeight="false" outlineLevel="0" collapsed="false">
      <c r="A29" s="12"/>
      <c r="B29" s="5" t="s">
        <v>92</v>
      </c>
      <c r="C29" s="6" t="s">
        <v>93</v>
      </c>
      <c r="D29" s="13" t="s">
        <v>94</v>
      </c>
      <c r="E29" s="8" t="s">
        <v>14</v>
      </c>
      <c r="F29" s="9" t="n">
        <v>2</v>
      </c>
      <c r="G29" s="10" t="n">
        <v>500</v>
      </c>
      <c r="H29" s="11" t="s">
        <v>95</v>
      </c>
    </row>
    <row r="30" customFormat="false" ht="15" hidden="false" customHeight="false" outlineLevel="0" collapsed="false">
      <c r="A30" s="12"/>
      <c r="B30" s="5" t="s">
        <v>96</v>
      </c>
      <c r="C30" s="6" t="s">
        <v>42</v>
      </c>
      <c r="D30" s="13" t="s">
        <v>97</v>
      </c>
      <c r="E30" s="8" t="s">
        <v>14</v>
      </c>
      <c r="F30" s="9" t="n">
        <v>2</v>
      </c>
      <c r="G30" s="10" t="n">
        <v>550</v>
      </c>
      <c r="H30" s="11" t="s">
        <v>98</v>
      </c>
    </row>
    <row r="31" customFormat="false" ht="15" hidden="false" customHeight="false" outlineLevel="0" collapsed="false">
      <c r="A31" s="15"/>
      <c r="B31" s="16" t="s">
        <v>99</v>
      </c>
      <c r="C31" s="15"/>
      <c r="D31" s="15"/>
      <c r="E31" s="15"/>
      <c r="F31" s="15"/>
      <c r="G31" s="17" t="n">
        <f aca="false">SUMPRODUCT(F27:F30,G27:G30)</f>
        <v>4720</v>
      </c>
      <c r="H31" s="15"/>
    </row>
    <row r="32" customFormat="false" ht="15" hidden="false" customHeight="false" outlineLevel="0" collapsed="false">
      <c r="A32" s="4" t="s">
        <v>100</v>
      </c>
      <c r="B32" s="5" t="s">
        <v>101</v>
      </c>
      <c r="C32" s="6" t="s">
        <v>102</v>
      </c>
      <c r="D32" s="13" t="s">
        <v>103</v>
      </c>
      <c r="E32" s="8" t="s">
        <v>14</v>
      </c>
      <c r="F32" s="9" t="n">
        <v>1</v>
      </c>
      <c r="G32" s="10" t="n">
        <v>150</v>
      </c>
      <c r="H32" s="11" t="s">
        <v>104</v>
      </c>
    </row>
    <row r="33" customFormat="false" ht="15" hidden="false" customHeight="false" outlineLevel="0" collapsed="false">
      <c r="A33" s="12"/>
      <c r="B33" s="5" t="s">
        <v>105</v>
      </c>
      <c r="C33" s="6" t="s">
        <v>102</v>
      </c>
      <c r="D33" s="13" t="s">
        <v>106</v>
      </c>
      <c r="E33" s="8" t="s">
        <v>14</v>
      </c>
      <c r="F33" s="9" t="n">
        <v>1</v>
      </c>
      <c r="G33" s="10" t="n">
        <v>60</v>
      </c>
      <c r="H33" s="11" t="s">
        <v>107</v>
      </c>
    </row>
    <row r="34" customFormat="false" ht="15" hidden="false" customHeight="false" outlineLevel="0" collapsed="false">
      <c r="A34" s="12"/>
      <c r="B34" s="5" t="s">
        <v>108</v>
      </c>
      <c r="C34" s="6" t="s">
        <v>109</v>
      </c>
      <c r="D34" s="13" t="s">
        <v>110</v>
      </c>
      <c r="E34" s="8" t="s">
        <v>14</v>
      </c>
      <c r="F34" s="9" t="n">
        <v>8</v>
      </c>
      <c r="G34" s="10" t="n">
        <v>15</v>
      </c>
      <c r="H34" s="11" t="s">
        <v>40</v>
      </c>
    </row>
    <row r="35" customFormat="false" ht="15" hidden="false" customHeight="false" outlineLevel="0" collapsed="false">
      <c r="A35" s="15"/>
      <c r="B35" s="16" t="s">
        <v>111</v>
      </c>
      <c r="C35" s="15"/>
      <c r="D35" s="15"/>
      <c r="E35" s="15"/>
      <c r="F35" s="15"/>
      <c r="G35" s="17" t="n">
        <f aca="false">SUMPRODUCT(F32:F34,G32:G34)</f>
        <v>330</v>
      </c>
      <c r="H35" s="15"/>
    </row>
    <row r="36" customFormat="false" ht="15" hidden="false" customHeight="false" outlineLevel="0" collapsed="false">
      <c r="A36" s="4" t="s">
        <v>112</v>
      </c>
      <c r="B36" s="5" t="s">
        <v>113</v>
      </c>
      <c r="C36" s="6" t="s">
        <v>114</v>
      </c>
      <c r="D36" s="13" t="s">
        <v>115</v>
      </c>
      <c r="E36" s="8" t="s">
        <v>14</v>
      </c>
      <c r="F36" s="9" t="n">
        <v>1</v>
      </c>
      <c r="G36" s="10" t="n">
        <v>80</v>
      </c>
      <c r="H36" s="11" t="s">
        <v>116</v>
      </c>
    </row>
    <row r="37" customFormat="false" ht="15" hidden="false" customHeight="false" outlineLevel="0" collapsed="false">
      <c r="A37" s="12"/>
      <c r="B37" s="5" t="s">
        <v>117</v>
      </c>
      <c r="C37" s="6" t="s">
        <v>114</v>
      </c>
      <c r="D37" s="13" t="s">
        <v>14</v>
      </c>
      <c r="E37" s="8" t="s">
        <v>14</v>
      </c>
      <c r="F37" s="9" t="n">
        <v>1</v>
      </c>
      <c r="G37" s="10" t="n">
        <v>30</v>
      </c>
      <c r="H37" s="11" t="s">
        <v>116</v>
      </c>
    </row>
    <row r="38" customFormat="false" ht="15" hidden="false" customHeight="false" outlineLevel="0" collapsed="false">
      <c r="A38" s="12"/>
      <c r="B38" s="5" t="s">
        <v>118</v>
      </c>
      <c r="C38" s="6" t="s">
        <v>119</v>
      </c>
      <c r="D38" s="13" t="s">
        <v>120</v>
      </c>
      <c r="E38" s="8" t="s">
        <v>14</v>
      </c>
      <c r="F38" s="9" t="n">
        <v>2</v>
      </c>
      <c r="G38" s="10" t="n">
        <v>10</v>
      </c>
      <c r="H38" s="11" t="s">
        <v>121</v>
      </c>
    </row>
    <row r="39" customFormat="false" ht="15" hidden="false" customHeight="false" outlineLevel="0" collapsed="false">
      <c r="A39" s="15"/>
      <c r="B39" s="16" t="s">
        <v>122</v>
      </c>
      <c r="C39" s="15"/>
      <c r="D39" s="15"/>
      <c r="E39" s="15"/>
      <c r="F39" s="15"/>
      <c r="G39" s="17" t="n">
        <f aca="false">SUMPRODUCT(F36:F38,G36:G38)</f>
        <v>130</v>
      </c>
      <c r="H39" s="15"/>
    </row>
    <row r="41" customFormat="false" ht="15" hidden="false" customHeight="false" outlineLevel="0" collapsed="false">
      <c r="A41" s="18"/>
      <c r="B41" s="19" t="s">
        <v>123</v>
      </c>
      <c r="C41" s="18"/>
      <c r="D41" s="18"/>
      <c r="E41" s="18"/>
      <c r="F41" s="18"/>
      <c r="G41" s="20" t="n">
        <f aca="false">G13+G22+G26+G31+G35+G39</f>
        <v>11312</v>
      </c>
      <c r="H41" s="18"/>
    </row>
    <row r="42" customFormat="false" ht="15" hidden="false" customHeight="false" outlineLevel="0" collapsed="false">
      <c r="A42" s="12"/>
      <c r="B42" s="21" t="s">
        <v>124</v>
      </c>
      <c r="C42" s="12"/>
      <c r="D42" s="12"/>
      <c r="E42" s="12"/>
      <c r="F42" s="12"/>
      <c r="G42" s="22" t="n">
        <f aca="false">G41/1000</f>
        <v>11.312</v>
      </c>
      <c r="H42" s="12"/>
    </row>
    <row r="45" customFormat="false" ht="15" hidden="false" customHeight="false" outlineLevel="0" collapsed="false">
      <c r="A45" s="23" t="s">
        <v>125</v>
      </c>
    </row>
    <row r="46" customFormat="false" ht="15" hidden="false" customHeight="false" outlineLevel="0" collapsed="false">
      <c r="A46" s="2" t="s">
        <v>126</v>
      </c>
      <c r="B46" s="2"/>
      <c r="C46" s="2"/>
      <c r="D46" s="2"/>
      <c r="E46" s="2"/>
      <c r="F46" s="2"/>
      <c r="G46" s="2"/>
      <c r="H46" s="2"/>
    </row>
    <row r="47" customFormat="false" ht="15" hidden="false" customHeight="false" outlineLevel="0" collapsed="false">
      <c r="A47" s="2" t="s">
        <v>127</v>
      </c>
      <c r="B47" s="2"/>
      <c r="C47" s="2"/>
      <c r="D47" s="2"/>
      <c r="E47" s="2"/>
      <c r="F47" s="2"/>
      <c r="G47" s="2"/>
      <c r="H47" s="2"/>
    </row>
    <row r="48" customFormat="false" ht="15" hidden="false" customHeight="false" outlineLevel="0" collapsed="false">
      <c r="A48" s="2" t="s">
        <v>128</v>
      </c>
      <c r="B48" s="2"/>
      <c r="C48" s="2"/>
      <c r="D48" s="2"/>
      <c r="E48" s="2"/>
      <c r="F48" s="2"/>
      <c r="G48" s="2"/>
      <c r="H48" s="2"/>
    </row>
    <row r="49" customFormat="false" ht="15" hidden="false" customHeight="false" outlineLevel="0" collapsed="false">
      <c r="A49" s="2" t="s">
        <v>129</v>
      </c>
      <c r="B49" s="2"/>
      <c r="C49" s="2"/>
      <c r="D49" s="2"/>
      <c r="E49" s="2"/>
      <c r="F49" s="2"/>
      <c r="G49" s="2"/>
      <c r="H49" s="2"/>
    </row>
    <row r="50" customFormat="false" ht="15" hidden="false" customHeight="false" outlineLevel="0" collapsed="false">
      <c r="A50" s="2" t="s">
        <v>130</v>
      </c>
      <c r="B50" s="2"/>
      <c r="C50" s="2"/>
      <c r="D50" s="2"/>
      <c r="E50" s="2"/>
      <c r="F50" s="2"/>
      <c r="G50" s="2"/>
      <c r="H50" s="2"/>
    </row>
    <row r="51" customFormat="false" ht="15" hidden="false" customHeight="false" outlineLevel="0" collapsed="false">
      <c r="A51" s="2" t="s">
        <v>131</v>
      </c>
      <c r="B51" s="2"/>
      <c r="C51" s="2"/>
      <c r="D51" s="2"/>
      <c r="E51" s="2"/>
      <c r="F51" s="2"/>
      <c r="G51" s="2"/>
      <c r="H51" s="2"/>
    </row>
    <row r="52" customFormat="false" ht="15" hidden="false" customHeight="false" outlineLevel="0" collapsed="false">
      <c r="A52" s="2" t="s">
        <v>132</v>
      </c>
      <c r="B52" s="2"/>
      <c r="C52" s="2"/>
      <c r="D52" s="2"/>
      <c r="E52" s="2"/>
      <c r="F52" s="2"/>
      <c r="G52" s="2"/>
      <c r="H52" s="2"/>
    </row>
    <row r="53" customFormat="false" ht="15" hidden="false" customHeight="false" outlineLevel="0" collapsed="false">
      <c r="A53" s="2" t="s">
        <v>133</v>
      </c>
      <c r="B53" s="2"/>
      <c r="C53" s="2"/>
      <c r="D53" s="2"/>
      <c r="E53" s="2"/>
      <c r="F53" s="2"/>
      <c r="G53" s="2"/>
      <c r="H53" s="2"/>
    </row>
    <row r="54" customFormat="false" ht="15" hidden="false" customHeight="false" outlineLevel="0" collapsed="false">
      <c r="A54" s="2" t="s">
        <v>134</v>
      </c>
      <c r="B54" s="2"/>
      <c r="C54" s="2"/>
      <c r="D54" s="2"/>
      <c r="E54" s="2"/>
      <c r="F54" s="2"/>
      <c r="G54" s="2"/>
      <c r="H54" s="2"/>
    </row>
  </sheetData>
  <mergeCells count="11">
    <mergeCell ref="A1:H1"/>
    <mergeCell ref="A2:H2"/>
    <mergeCell ref="A46:H46"/>
    <mergeCell ref="A47:H47"/>
    <mergeCell ref="A48:H48"/>
    <mergeCell ref="A49:H49"/>
    <mergeCell ref="A50:H50"/>
    <mergeCell ref="A51:H51"/>
    <mergeCell ref="A52:H52"/>
    <mergeCell ref="A53:H53"/>
    <mergeCell ref="A54:H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2026-09-05T18:34:27Z</dcterms:created>
  <dc:creator>openpyxl</dc:creator>
  <dc:description/>
  <dc:language>en-US</dc:language>
  <cp:lastModifiedBy/>
  <dcterms:modified xsi:type="dcterms:W3CDTF">2026-09-05T18:34:27Z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
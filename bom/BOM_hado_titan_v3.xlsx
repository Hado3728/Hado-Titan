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haso titan" sheetId="1" r:id="rId5"/>
  </sheets>
  <definedNames/>
  <calcPr/>
</workbook>
</file>

<file path=xl/sharedStrings.xml><?xml version="1.0" encoding="utf-8"?>
<sst xmlns="http://schemas.openxmlformats.org/spreadsheetml/2006/main" count="80" uniqueCount="76">
  <si>
    <t>BOM — Haso Titan (India sourcing: Robu.in + Zerodrag) — buffered pricing</t>
  </si>
  <si>
    <t>Category</t>
  </si>
  <si>
    <t>Component</t>
  </si>
  <si>
    <t>Qty</t>
  </si>
  <si>
    <t>Unit Price (₹)</t>
  </si>
  <si>
    <t>Total Price (₹)</t>
  </si>
  <si>
    <t>Unit Mass (g)</t>
  </si>
  <si>
    <t>Total Mass (g)</t>
  </si>
  <si>
    <t>Vendor / Link</t>
  </si>
  <si>
    <t>Weapon System</t>
  </si>
  <si>
    <t>DYS D3548-5 900 KV BLDC Motor</t>
  </si>
  <si>
    <t>https://robu.in/product/dys-d3548-5-900-kv-bldc-motor/</t>
  </si>
  <si>
    <t>HTD 5M pulley, motor side (5mm bore)</t>
  </si>
  <si>
    <t>Local machinist / Robu.in — —</t>
  </si>
  <si>
    <t>HTD 5M pulley, drum side</t>
  </si>
  <si>
    <t>Local machinist — —</t>
  </si>
  <si>
    <t>HTD 5M timing belt</t>
  </si>
  <si>
    <t>IndustryBuying / local — —</t>
  </si>
  <si>
    <t xml:space="preserve">Weapon shaft bearings, largest plausible size </t>
  </si>
  <si>
    <t>SKF India / Robu.in — emarketplace.in.skf.com</t>
  </si>
  <si>
    <t xml:space="preserve">Weapon shaft (hardened steel rod) </t>
  </si>
  <si>
    <t>Local steel supplier — —</t>
  </si>
  <si>
    <t>Weapon System subtotal</t>
  </si>
  <si>
    <t>Drivetrain (x2 sides)</t>
  </si>
  <si>
    <t>Pro-Range 72.6 N-cm 468 RPM 24V Planetary Gear DC Motor PG36M555-19.2K</t>
  </si>
  <si>
    <t>https://robu.in/product/orange-planetary-gear-dc-motor-24v-468-rpm-72-6-n-cm-pg36m555-19-2k/</t>
  </si>
  <si>
    <t>EasyMech Heavy Duty 100mm Disc Wheel Gray 2 Pc Set</t>
  </si>
  <si>
    <t>https://robu.in/product/heavy-dutyhd-disc-wheel-100mm-dia-2pc-grey-color/</t>
  </si>
  <si>
    <t>Wheel hub coupling</t>
  </si>
  <si>
    <t>Robu.in — robu.in</t>
  </si>
  <si>
    <t>Drive shaft bearings</t>
  </si>
  <si>
    <t xml:space="preserve">Drive shaft (steel rod) </t>
  </si>
  <si>
    <t>Drivetrain (x2 sides) subtotal</t>
  </si>
  <si>
    <t>Electronics</t>
  </si>
  <si>
    <t>SmartElex 30D Smart Motor Driver</t>
  </si>
  <si>
    <t>https://robu.in/product/smartelex-30d-smart-motor-driver-by-raspberry-pi/</t>
  </si>
  <si>
    <t>Readytosky 80A ESC 2-6S Brushless ESC</t>
  </si>
  <si>
    <t>https://robu.in/product/readytosky-80a-esc-2-6s-brushless-esc-speed-controller-for-rc-drone/</t>
  </si>
  <si>
    <t>FlySky FS-i6X (6CH) + FS-iA10B receiver</t>
  </si>
  <si>
    <t>https://robu.in/product/flysky-fs-i6x-2-4ghz-10ch-afhds-2a-rc-transmitter-with-fs-ia10b-2-4ghz-10ch-receiver/</t>
  </si>
  <si>
    <t>GNB 4000mAh 6S1P 22.2V 70C Lipo Battery</t>
  </si>
  <si>
    <t>https://www.uavmarketplace.in/products/gnb-4000mah-6s1p-22-2v-70c-lipo-battery-xt90/895789000000963405</t>
  </si>
  <si>
    <t>Weapon arming switch/link</t>
  </si>
  <si>
    <t>https://robu.in/product/toggle-switch-knx-219/</t>
  </si>
  <si>
    <t>Electronics subtotal</t>
  </si>
  <si>
    <t>Wiring &amp; Connectors</t>
  </si>
  <si>
    <t>12AWG Solid core insulated wire Silicone-Black and Red</t>
  </si>
  <si>
    <t>https://robu.in/product/high-quality-ultra-flexible-12awg-silicone-wire-red/</t>
  </si>
  <si>
    <t>26AWG High Quality Ultra Flexible Silicone Wire - Black and Red</t>
  </si>
  <si>
    <t>https://robu.in/product/high-quality-ultra-flexible-26awg-silicone-wire-1000m-black/</t>
  </si>
  <si>
    <t>XT90 connectors</t>
  </si>
  <si>
    <t>Bullet connectors 3.5mm</t>
  </si>
  <si>
    <t>https://robu.in/product/amass-35mm-gold-plated-bullet-battery-connector-pair-gc3510-f-and-gc3510-m/</t>
  </si>
  <si>
    <t>Heat shrink tubing assortment</t>
  </si>
  <si>
    <t>https://robu.in/product/heat-shrink-sleeve-8mm-red-industrial-grade-woer-hst/</t>
  </si>
  <si>
    <t>Cable sleeving / wire loom</t>
  </si>
  <si>
    <t>https://robu.in/product/nylon-2mm-expandable-braided-sleeve-for-wire-protection-10m-length/</t>
  </si>
  <si>
    <t>Wiring &amp; Connectors subtotal</t>
  </si>
  <si>
    <t>Fasteners &amp; Misc</t>
  </si>
  <si>
    <t>Socket head cap screws, M3-M5 assortment</t>
  </si>
  <si>
    <t>Amazon.in — amazon.in</t>
  </si>
  <si>
    <t xml:space="preserve">Nyloc nuts, M3-M5 assortment </t>
  </si>
  <si>
    <t>Threadlocker (Loctite 243)</t>
  </si>
  <si>
    <t>https://www.amazon.in/Lock-tite-243-Strength-Heavy-Threadlocker/dp/B0F3XV8P29/ref=sr_1_5?nsdOptOutParam=true&amp;sr=8-5</t>
  </si>
  <si>
    <t>Fasteners &amp; Misc subtotal</t>
  </si>
  <si>
    <t>Main Chasis &amp; Weapon Drum</t>
  </si>
  <si>
    <t>CASE UHMWPE</t>
  </si>
  <si>
    <t>LOCAL HARDWARE</t>
  </si>
  <si>
    <t>TOTAL</t>
  </si>
  <si>
    <t>47903 Rs</t>
  </si>
  <si>
    <t>GRAND TOTAL IN USD APPROX</t>
  </si>
  <si>
    <t>$501</t>
  </si>
  <si>
    <t>Notes</t>
  </si>
  <si>
    <t>Green = confirmed real product/price (Zerodrag QPT motors, Zerodrag AM32 ESC, FlySky combo).</t>
  </si>
  <si>
    <t>purpose, so the budget already has headroom built in rather than needing revision upward later.</t>
  </si>
  <si>
    <t>6S battery powers everything through the shared Zerodrag 4-in-1 ESC (1 weapon channel + 2 drive channels + 1 spare).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</si>
</sst>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i/>
      <sz val="11.0"/>
      <color rgb="FF93C47D"/>
      <name val="Arial"/>
    </font>
    <font>
      <sz val="11.0"/>
      <color rgb="FF0000FF"/>
      <name val="Arial"/>
    </font>
    <font>
      <sz val="11.0"/>
      <color theme="1"/>
      <name val="Calibri"/>
    </font>
    <font>
      <u/>
      <sz val="8.0"/>
      <color rgb="FF777777"/>
      <name val="Arial"/>
    </font>
    <font>
      <i/>
      <sz val="11.0"/>
      <color rgb="FF7B4FA6"/>
      <name val="Arial"/>
    </font>
    <font>
      <sz val="8.0"/>
      <color rgb="FF777777"/>
      <name val="Arial"/>
    </font>
    <font>
      <b/>
      <i/>
      <sz val="11.0"/>
      <color theme="1"/>
      <name val="Arial"/>
    </font>
    <font>
      <i/>
      <sz val="11.0"/>
      <color rgb="FF93C47D"/>
      <name val="&quot;Plus Jakarta Sans&quot;"/>
    </font>
    <font>
      <sz val="11.0"/>
      <color rgb="FF1E8449"/>
      <name val="Arial"/>
    </font>
    <font>
      <sz val="11.0"/>
      <color rgb="FF93C47D"/>
      <name val="&quot;Plus Jakarta Sans&quot;"/>
    </font>
    <font>
      <i/>
      <sz val="11.0"/>
      <color rgb="FF6AA84F"/>
      <name val="Arial"/>
    </font>
    <font>
      <b/>
      <color theme="1"/>
      <name val="Calibri"/>
      <scheme val="minor"/>
    </font>
    <font>
      <color theme="1"/>
      <name val="Calibri"/>
      <scheme val="minor"/>
    </font>
    <font>
      <b/>
      <i/>
      <sz val="11.0"/>
      <color rgb="FFEFEFE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74E13"/>
        <bgColor rgb="FF274E13"/>
      </patternFill>
    </fill>
    <fill>
      <patternFill patternType="solid">
        <fgColor rgb="FFD9E1F2"/>
        <bgColor rgb="FFD9E1F2"/>
      </patternFill>
    </fill>
    <fill>
      <patternFill patternType="solid">
        <fgColor rgb="FF0C343D"/>
        <bgColor rgb="FF0C343D"/>
      </patternFill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3" xfId="0" applyAlignment="1" applyBorder="1" applyFont="1" applyNumberFormat="1">
      <alignment readingOrder="0" shrinkToFit="0" vertical="bottom" wrapText="0"/>
    </xf>
    <xf borderId="1" fillId="0" fontId="7" numFmtId="3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3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6" numFmtId="3" xfId="0" applyAlignment="1" applyBorder="1" applyFont="1" applyNumberForma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1" fillId="4" fontId="11" numFmtId="0" xfId="0" applyAlignment="1" applyBorder="1" applyFill="1" applyFont="1">
      <alignment shrinkToFit="0" vertical="bottom" wrapText="0"/>
    </xf>
    <xf borderId="1" fillId="4" fontId="4" numFmtId="3" xfId="0" applyAlignment="1" applyBorder="1" applyFill="1" applyFont="1" applyNumberFormat="1">
      <alignment shrinkToFit="0" vertical="bottom" wrapText="0"/>
    </xf>
    <xf borderId="0" fillId="3" fontId="12" numFmtId="0" xfId="0" applyAlignment="1" applyFill="1" applyFont="1">
      <alignment readingOrder="0"/>
    </xf>
    <xf borderId="1" fillId="3" fontId="13" numFmtId="0" xfId="0" applyAlignment="1" applyBorder="1" applyFill="1" applyFont="1">
      <alignment shrinkToFit="0" vertical="bottom" wrapText="0"/>
    </xf>
    <xf borderId="0" fillId="3" fontId="5" numFmtId="0" xfId="0" applyAlignment="1" applyFill="1" applyFont="1">
      <alignment readingOrder="0" shrinkToFit="0" wrapText="1"/>
    </xf>
    <xf borderId="1" fillId="3" fontId="9" numFmtId="0" xfId="0" applyAlignment="1" applyBorder="1" applyFill="1" applyFont="1">
      <alignment readingOrder="0" shrinkToFit="0" vertical="bottom" wrapText="0"/>
    </xf>
    <xf borderId="0" fillId="3" fontId="14" numFmtId="0" xfId="0" applyAlignment="1" applyFill="1" applyFont="1">
      <alignment readingOrder="0"/>
    </xf>
    <xf borderId="1" fillId="3" fontId="15" numFmtId="0" xfId="0" applyAlignment="1" applyBorder="1" applyFill="1" applyFont="1">
      <alignment readingOrder="0"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6" fontId="4" numFmtId="0" xfId="0" applyAlignment="1" applyBorder="1" applyFill="1" applyFont="1">
      <alignment readingOrder="0" shrinkToFit="0" vertical="bottom" wrapText="0"/>
    </xf>
    <xf borderId="1" fillId="7" fontId="7" numFmtId="0" xfId="0" applyAlignment="1" applyBorder="1" applyFill="1" applyFont="1">
      <alignment shrinkToFit="0" vertical="bottom" wrapText="0"/>
    </xf>
    <xf borderId="1" fillId="7" fontId="18" numFmtId="0" xfId="0" applyAlignment="1" applyBorder="1" applyFill="1" applyFont="1">
      <alignment readingOrder="0" shrinkToFit="0" vertical="bottom" wrapText="0"/>
    </xf>
    <xf borderId="1" fillId="8" fontId="4" numFmtId="2" xfId="0" applyAlignment="1" applyBorder="1" applyFill="1" applyFont="1" applyNumberFormat="1">
      <alignment readingOrder="0" shrinkToFit="0" vertical="bottom" wrapText="0"/>
    </xf>
    <xf borderId="0" fillId="8" fontId="16" numFmtId="0" xfId="0" applyAlignment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u.in/product/amass-35mm-gold-plated-bullet-battery-connector-pair-gc3510-f-and-gc3510-m/" TargetMode="External"/><Relationship Id="rId10" Type="http://schemas.openxmlformats.org/officeDocument/2006/relationships/hyperlink" Target="https://robu.in/product/high-quality-ultra-flexible-26awg-silicone-wire-1000m-black/" TargetMode="External"/><Relationship Id="rId13" Type="http://schemas.openxmlformats.org/officeDocument/2006/relationships/hyperlink" Target="https://robu.in/product/nylon-2mm-expandable-braided-sleeve-for-wire-protection-10m-length/" TargetMode="External"/><Relationship Id="rId12" Type="http://schemas.openxmlformats.org/officeDocument/2006/relationships/hyperlink" Target="https://robu.in/product/heat-shrink-sleeve-8mm-red-industrial-grade-woer-hst/" TargetMode="External"/><Relationship Id="rId1" Type="http://schemas.openxmlformats.org/officeDocument/2006/relationships/hyperlink" Target="https://robu.in/product/dys-d3548-5-900-kv-bldc-motor/" TargetMode="External"/><Relationship Id="rId2" Type="http://schemas.openxmlformats.org/officeDocument/2006/relationships/hyperlink" Target="https://robu.in/product/orange-planetary-gear-dc-motor-24v-468-rpm-72-6-n-cm-pg36m555-19-2k/" TargetMode="External"/><Relationship Id="rId3" Type="http://schemas.openxmlformats.org/officeDocument/2006/relationships/hyperlink" Target="https://robu.in/product/heavy-dutyhd-disc-wheel-100mm-dia-2pc-grey-color/" TargetMode="External"/><Relationship Id="rId4" Type="http://schemas.openxmlformats.org/officeDocument/2006/relationships/hyperlink" Target="https://robu.in/product/smartelex-30d-smart-motor-driver-by-raspberry-pi/" TargetMode="External"/><Relationship Id="rId9" Type="http://schemas.openxmlformats.org/officeDocument/2006/relationships/hyperlink" Target="https://robu.in/product/high-quality-ultra-flexible-12awg-silicone-wire-red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amazon.in/Lock-tite-243-Strength-Heavy-Threadlocker/dp/B0F3XV8P29/ref=sr_1_5?nsdOptOutParam=true&amp;sr=8-5" TargetMode="External"/><Relationship Id="rId5" Type="http://schemas.openxmlformats.org/officeDocument/2006/relationships/hyperlink" Target="https://robu.in/product/readytosky-80a-esc-2-6s-brushless-esc-speed-controller-for-rc-drone/" TargetMode="External"/><Relationship Id="rId6" Type="http://schemas.openxmlformats.org/officeDocument/2006/relationships/hyperlink" Target="https://robu.in/product/flysky-fs-i6x-2-4ghz-10ch-afhds-2a-rc-transmitter-with-fs-ia10b-2-4ghz-10ch-receiver/" TargetMode="External"/><Relationship Id="rId7" Type="http://schemas.openxmlformats.org/officeDocument/2006/relationships/hyperlink" Target="https://www.uavmarketplace.in/products/gnb-4000mah-6s1p-22-2v-70c-lipo-battery-xt90/895789000000963405" TargetMode="External"/><Relationship Id="rId8" Type="http://schemas.openxmlformats.org/officeDocument/2006/relationships/hyperlink" Target="https://robu.in/product/toggle-switch-knx-2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29"/>
    <col customWidth="1" min="2" max="2" width="60.57"/>
    <col customWidth="1" min="3" max="3" width="5.0"/>
    <col customWidth="1" min="4" max="4" width="11.0"/>
    <col customWidth="1" min="5" max="5" width="12.0"/>
    <col customWidth="1" min="6" max="7" width="11.0"/>
    <col customWidth="1" min="8" max="8" width="70.71"/>
    <col customWidth="1" min="9" max="26" width="8.71"/>
  </cols>
  <sheetData>
    <row r="1">
      <c r="A1" s="1" t="s">
        <v>0</v>
      </c>
    </row>
    <row r="2">
      <c r="A2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>
      <c r="A5" s="4" t="s">
        <v>9</v>
      </c>
      <c r="B5" s="5" t="s">
        <v>10</v>
      </c>
      <c r="C5" s="6">
        <v>1.0</v>
      </c>
      <c r="D5" s="7">
        <v>2709.0</v>
      </c>
      <c r="E5" s="8">
        <f t="shared" ref="E5:E6" si="1">C5*D5</f>
        <v>2709</v>
      </c>
      <c r="F5" s="9">
        <v>159.0</v>
      </c>
      <c r="G5" s="10">
        <v>159.0</v>
      </c>
      <c r="H5" s="11" t="s">
        <v>11</v>
      </c>
    </row>
    <row r="6">
      <c r="A6" s="12"/>
      <c r="B6" s="13" t="s">
        <v>12</v>
      </c>
      <c r="C6" s="6">
        <v>1.0</v>
      </c>
      <c r="D6" s="14">
        <v>500.0</v>
      </c>
      <c r="E6" s="8">
        <f t="shared" si="1"/>
        <v>500</v>
      </c>
      <c r="F6" s="6"/>
      <c r="G6" s="8"/>
      <c r="H6" s="15" t="s">
        <v>13</v>
      </c>
    </row>
    <row r="7">
      <c r="A7" s="12"/>
      <c r="B7" s="13" t="s">
        <v>14</v>
      </c>
      <c r="C7" s="6">
        <v>1.0</v>
      </c>
      <c r="D7" s="14">
        <v>700.0</v>
      </c>
      <c r="E7" s="10">
        <v>700.0</v>
      </c>
      <c r="F7" s="6"/>
      <c r="G7" s="8"/>
      <c r="H7" s="15" t="s">
        <v>15</v>
      </c>
    </row>
    <row r="8">
      <c r="A8" s="12"/>
      <c r="B8" s="13" t="s">
        <v>16</v>
      </c>
      <c r="C8" s="6">
        <v>1.0</v>
      </c>
      <c r="D8" s="14">
        <v>300.0</v>
      </c>
      <c r="E8" s="8">
        <f t="shared" ref="E8:E10" si="2">C8*D8</f>
        <v>300</v>
      </c>
      <c r="F8" s="6"/>
      <c r="G8" s="8"/>
      <c r="H8" s="15" t="s">
        <v>17</v>
      </c>
    </row>
    <row r="9">
      <c r="A9" s="12"/>
      <c r="B9" s="13" t="s">
        <v>18</v>
      </c>
      <c r="C9" s="6">
        <v>2.0</v>
      </c>
      <c r="D9" s="14">
        <v>189.0</v>
      </c>
      <c r="E9" s="8">
        <f t="shared" si="2"/>
        <v>378</v>
      </c>
      <c r="F9" s="6"/>
      <c r="G9" s="8"/>
      <c r="H9" s="15" t="s">
        <v>19</v>
      </c>
    </row>
    <row r="10">
      <c r="A10" s="12"/>
      <c r="B10" s="13" t="s">
        <v>20</v>
      </c>
      <c r="C10" s="6">
        <v>1.0</v>
      </c>
      <c r="D10" s="14">
        <v>700.0</v>
      </c>
      <c r="E10" s="8">
        <f t="shared" si="2"/>
        <v>700</v>
      </c>
      <c r="F10" s="6"/>
      <c r="G10" s="8"/>
      <c r="H10" s="15" t="s">
        <v>21</v>
      </c>
    </row>
    <row r="11">
      <c r="A11" s="16"/>
      <c r="B11" s="17" t="s">
        <v>22</v>
      </c>
      <c r="C11" s="16"/>
      <c r="D11" s="16"/>
      <c r="E11" s="18">
        <f>SUM(E5:E10)</f>
        <v>5287</v>
      </c>
      <c r="F11" s="16"/>
      <c r="G11" s="18"/>
      <c r="H11" s="16"/>
    </row>
    <row r="12">
      <c r="A12" s="4" t="s">
        <v>23</v>
      </c>
      <c r="B12" s="19" t="s">
        <v>24</v>
      </c>
      <c r="C12" s="6">
        <v>2.0</v>
      </c>
      <c r="D12" s="7">
        <v>1929.0</v>
      </c>
      <c r="E12" s="8">
        <f t="shared" ref="E12:E16" si="3">C12*D12</f>
        <v>3858</v>
      </c>
      <c r="F12" s="9">
        <v>430.0</v>
      </c>
      <c r="G12" s="10">
        <v>860.0</v>
      </c>
      <c r="H12" s="11" t="s">
        <v>25</v>
      </c>
    </row>
    <row r="13">
      <c r="A13" s="12"/>
      <c r="B13" s="19" t="s">
        <v>26</v>
      </c>
      <c r="C13" s="6">
        <v>1.0</v>
      </c>
      <c r="D13" s="7">
        <v>573.0</v>
      </c>
      <c r="E13" s="8">
        <f t="shared" si="3"/>
        <v>573</v>
      </c>
      <c r="F13" s="9"/>
      <c r="G13" s="10">
        <v>432.0</v>
      </c>
      <c r="H13" s="11" t="s">
        <v>27</v>
      </c>
    </row>
    <row r="14">
      <c r="A14" s="12"/>
      <c r="B14" s="13" t="s">
        <v>28</v>
      </c>
      <c r="C14" s="6">
        <v>2.0</v>
      </c>
      <c r="D14" s="14">
        <v>400.0</v>
      </c>
      <c r="E14" s="8">
        <f t="shared" si="3"/>
        <v>800</v>
      </c>
      <c r="F14" s="6"/>
      <c r="G14" s="8"/>
      <c r="H14" s="15" t="s">
        <v>29</v>
      </c>
    </row>
    <row r="15">
      <c r="A15" s="12"/>
      <c r="B15" s="13" t="s">
        <v>30</v>
      </c>
      <c r="C15" s="6">
        <v>4.0</v>
      </c>
      <c r="D15" s="14">
        <v>189.0</v>
      </c>
      <c r="E15" s="8">
        <f t="shared" si="3"/>
        <v>756</v>
      </c>
      <c r="F15" s="6"/>
      <c r="G15" s="8"/>
      <c r="H15" s="15" t="s">
        <v>19</v>
      </c>
    </row>
    <row r="16">
      <c r="A16" s="12"/>
      <c r="B16" s="13" t="s">
        <v>31</v>
      </c>
      <c r="C16" s="6">
        <v>2.0</v>
      </c>
      <c r="D16" s="14">
        <v>300.0</v>
      </c>
      <c r="E16" s="8">
        <f t="shared" si="3"/>
        <v>600</v>
      </c>
      <c r="F16" s="6"/>
      <c r="G16" s="8"/>
      <c r="H16" s="15" t="s">
        <v>21</v>
      </c>
    </row>
    <row r="17">
      <c r="A17" s="16"/>
      <c r="B17" s="17" t="s">
        <v>32</v>
      </c>
      <c r="C17" s="16"/>
      <c r="D17" s="16"/>
      <c r="E17" s="18">
        <f>SUM(E12:E16)</f>
        <v>6587</v>
      </c>
      <c r="F17" s="16"/>
      <c r="G17" s="18"/>
      <c r="H17" s="16"/>
    </row>
    <row r="18">
      <c r="A18" s="4" t="s">
        <v>33</v>
      </c>
      <c r="B18" s="19" t="s">
        <v>34</v>
      </c>
      <c r="C18" s="6">
        <v>1.0</v>
      </c>
      <c r="D18" s="7">
        <v>3269.0</v>
      </c>
      <c r="E18" s="8">
        <f>C18*D18</f>
        <v>3269</v>
      </c>
      <c r="F18" s="9">
        <v>186.0</v>
      </c>
      <c r="G18" s="10">
        <v>186.0</v>
      </c>
      <c r="H18" s="11" t="s">
        <v>35</v>
      </c>
    </row>
    <row r="19">
      <c r="A19" s="12"/>
      <c r="B19" s="19" t="s">
        <v>36</v>
      </c>
      <c r="C19" s="9">
        <v>1.0</v>
      </c>
      <c r="D19" s="7">
        <v>2139.0</v>
      </c>
      <c r="E19" s="10">
        <v>2139.0</v>
      </c>
      <c r="F19" s="9">
        <v>95.0</v>
      </c>
      <c r="G19" s="10">
        <v>95.0</v>
      </c>
      <c r="H19" s="11" t="s">
        <v>37</v>
      </c>
    </row>
    <row r="20">
      <c r="A20" s="12"/>
      <c r="B20" s="20" t="s">
        <v>38</v>
      </c>
      <c r="C20" s="6">
        <v>1.0</v>
      </c>
      <c r="D20" s="7">
        <v>6639.0</v>
      </c>
      <c r="E20" s="8">
        <f t="shared" ref="E20:E22" si="4">C20*D20</f>
        <v>6639</v>
      </c>
      <c r="F20" s="6"/>
      <c r="G20" s="10">
        <v>20.0</v>
      </c>
      <c r="H20" s="11" t="s">
        <v>39</v>
      </c>
    </row>
    <row r="21">
      <c r="A21" s="12"/>
      <c r="B21" s="21" t="s">
        <v>40</v>
      </c>
      <c r="C21" s="9">
        <v>1.0</v>
      </c>
      <c r="D21" s="7">
        <v>6900.0</v>
      </c>
      <c r="E21" s="8">
        <f t="shared" si="4"/>
        <v>6900</v>
      </c>
      <c r="F21" s="9">
        <v>545.0</v>
      </c>
      <c r="G21" s="10">
        <v>545.0</v>
      </c>
      <c r="H21" s="11" t="s">
        <v>41</v>
      </c>
    </row>
    <row r="22" ht="15.75" customHeight="1">
      <c r="A22" s="12"/>
      <c r="B22" s="22" t="s">
        <v>42</v>
      </c>
      <c r="C22" s="6">
        <v>1.0</v>
      </c>
      <c r="D22" s="7">
        <v>27.0</v>
      </c>
      <c r="E22" s="8">
        <f t="shared" si="4"/>
        <v>27</v>
      </c>
      <c r="F22" s="6"/>
      <c r="G22" s="8"/>
      <c r="H22" s="11" t="s">
        <v>43</v>
      </c>
    </row>
    <row r="23" ht="15.75" customHeight="1">
      <c r="A23" s="16"/>
      <c r="B23" s="17" t="s">
        <v>44</v>
      </c>
      <c r="C23" s="16"/>
      <c r="D23" s="16"/>
      <c r="E23" s="18">
        <f>SUM(E18:E22)</f>
        <v>18974</v>
      </c>
      <c r="F23" s="16"/>
      <c r="G23" s="18"/>
      <c r="H23" s="16"/>
    </row>
    <row r="24" ht="15.75" customHeight="1">
      <c r="A24" s="4" t="s">
        <v>45</v>
      </c>
      <c r="B24" s="23" t="s">
        <v>46</v>
      </c>
      <c r="C24" s="9">
        <v>2.0</v>
      </c>
      <c r="D24" s="7">
        <v>90.0</v>
      </c>
      <c r="E24" s="8">
        <f t="shared" ref="E24:E29" si="5">C24*D24</f>
        <v>180</v>
      </c>
      <c r="F24" s="6"/>
      <c r="G24" s="8"/>
      <c r="H24" s="11" t="s">
        <v>47</v>
      </c>
    </row>
    <row r="25" ht="15.75" customHeight="1">
      <c r="A25" s="12"/>
      <c r="B25" s="23" t="s">
        <v>48</v>
      </c>
      <c r="C25" s="9">
        <v>2.0</v>
      </c>
      <c r="D25" s="7">
        <v>7.0</v>
      </c>
      <c r="E25" s="8">
        <f t="shared" si="5"/>
        <v>14</v>
      </c>
      <c r="F25" s="6"/>
      <c r="G25" s="8"/>
      <c r="H25" s="11" t="s">
        <v>49</v>
      </c>
    </row>
    <row r="26" ht="15.75" customHeight="1">
      <c r="A26" s="12"/>
      <c r="B26" s="24" t="s">
        <v>50</v>
      </c>
      <c r="C26" s="9">
        <v>4.0</v>
      </c>
      <c r="D26" s="7">
        <v>90.0</v>
      </c>
      <c r="E26" s="8">
        <f t="shared" si="5"/>
        <v>360</v>
      </c>
      <c r="F26" s="6"/>
      <c r="G26" s="8"/>
      <c r="H26" s="15" t="s">
        <v>29</v>
      </c>
    </row>
    <row r="27" ht="15.75" customHeight="1">
      <c r="A27" s="12"/>
      <c r="B27" s="5" t="s">
        <v>51</v>
      </c>
      <c r="C27" s="9">
        <v>5.0</v>
      </c>
      <c r="D27" s="7">
        <v>26.0</v>
      </c>
      <c r="E27" s="8">
        <f t="shared" si="5"/>
        <v>130</v>
      </c>
      <c r="F27" s="6"/>
      <c r="G27" s="8"/>
      <c r="H27" s="11" t="s">
        <v>52</v>
      </c>
    </row>
    <row r="28" ht="15.75" customHeight="1">
      <c r="A28" s="12"/>
      <c r="B28" s="25" t="s">
        <v>53</v>
      </c>
      <c r="C28" s="6">
        <v>1.0</v>
      </c>
      <c r="D28" s="7">
        <v>30.0</v>
      </c>
      <c r="E28" s="8">
        <f t="shared" si="5"/>
        <v>30</v>
      </c>
      <c r="F28" s="6"/>
      <c r="G28" s="8"/>
      <c r="H28" s="11" t="s">
        <v>54</v>
      </c>
    </row>
    <row r="29" ht="15.75" customHeight="1">
      <c r="A29" s="12"/>
      <c r="B29" s="26" t="s">
        <v>55</v>
      </c>
      <c r="C29" s="6">
        <v>1.0</v>
      </c>
      <c r="D29" s="7">
        <v>104.0</v>
      </c>
      <c r="E29" s="8">
        <f t="shared" si="5"/>
        <v>104</v>
      </c>
      <c r="F29" s="6"/>
      <c r="G29" s="8"/>
      <c r="H29" s="11" t="s">
        <v>56</v>
      </c>
    </row>
    <row r="30" ht="15.75" customHeight="1">
      <c r="A30" s="16"/>
      <c r="B30" s="17" t="s">
        <v>57</v>
      </c>
      <c r="C30" s="16"/>
      <c r="D30" s="16"/>
      <c r="E30" s="18">
        <f>SUM(E24:E29)</f>
        <v>818</v>
      </c>
      <c r="F30" s="16"/>
      <c r="G30" s="18"/>
      <c r="H30" s="16"/>
    </row>
    <row r="31" ht="15.75" customHeight="1">
      <c r="A31" s="4" t="s">
        <v>58</v>
      </c>
      <c r="B31" s="13" t="s">
        <v>59</v>
      </c>
      <c r="C31" s="6">
        <v>1.0</v>
      </c>
      <c r="D31" s="14">
        <v>500.0</v>
      </c>
      <c r="E31" s="8">
        <f t="shared" ref="E31:E33" si="6">C31*D31</f>
        <v>500</v>
      </c>
      <c r="F31" s="6"/>
      <c r="G31" s="8"/>
      <c r="H31" s="15" t="s">
        <v>60</v>
      </c>
    </row>
    <row r="32" ht="15.75" customHeight="1">
      <c r="A32" s="12"/>
      <c r="B32" s="13" t="s">
        <v>61</v>
      </c>
      <c r="C32" s="6">
        <v>1.0</v>
      </c>
      <c r="D32" s="14">
        <v>250.0</v>
      </c>
      <c r="E32" s="8">
        <f t="shared" si="6"/>
        <v>250</v>
      </c>
      <c r="F32" s="6"/>
      <c r="G32" s="8"/>
      <c r="H32" s="15" t="s">
        <v>60</v>
      </c>
    </row>
    <row r="33" ht="15.75" customHeight="1">
      <c r="A33" s="12"/>
      <c r="B33" s="25" t="s">
        <v>62</v>
      </c>
      <c r="C33" s="6">
        <v>1.0</v>
      </c>
      <c r="D33" s="7">
        <v>430.0</v>
      </c>
      <c r="E33" s="8">
        <f t="shared" si="6"/>
        <v>430</v>
      </c>
      <c r="F33" s="6"/>
      <c r="G33" s="8"/>
      <c r="H33" s="11" t="s">
        <v>63</v>
      </c>
    </row>
    <row r="34" ht="15.75" customHeight="1">
      <c r="A34" s="16"/>
      <c r="B34" s="17" t="s">
        <v>64</v>
      </c>
      <c r="C34" s="16"/>
      <c r="D34" s="16"/>
      <c r="E34" s="18">
        <f>SUM(E31:E33)</f>
        <v>1180</v>
      </c>
      <c r="F34" s="16"/>
      <c r="G34" s="18"/>
      <c r="H34" s="16"/>
    </row>
    <row r="35" ht="15.75" customHeight="1">
      <c r="A35" s="27" t="s">
        <v>65</v>
      </c>
      <c r="B35" s="27" t="s">
        <v>66</v>
      </c>
      <c r="E35" s="28">
        <v>15000.0</v>
      </c>
      <c r="G35" s="27">
        <v>1676.41</v>
      </c>
      <c r="H35" s="28" t="s">
        <v>67</v>
      </c>
    </row>
    <row r="36" ht="15.75" customHeight="1">
      <c r="A36" s="12"/>
      <c r="B36" s="29" t="s">
        <v>68</v>
      </c>
      <c r="C36" s="30"/>
      <c r="D36" s="30"/>
      <c r="E36" s="31" t="s">
        <v>69</v>
      </c>
      <c r="F36" s="30"/>
      <c r="G36" s="32"/>
      <c r="H36" s="12"/>
    </row>
    <row r="37" ht="15.75" customHeight="1"/>
    <row r="38" ht="15.75" customHeight="1">
      <c r="B38" s="33" t="s">
        <v>70</v>
      </c>
      <c r="E38" s="33" t="s">
        <v>71</v>
      </c>
    </row>
    <row r="39" ht="15.75" customHeight="1">
      <c r="A39" s="34" t="s">
        <v>72</v>
      </c>
    </row>
    <row r="40" ht="15.75" customHeight="1">
      <c r="A40" s="2" t="s">
        <v>73</v>
      </c>
    </row>
    <row r="41" ht="15.75" customHeight="1">
      <c r="A41" s="2" t="s">
        <v>74</v>
      </c>
    </row>
    <row r="42" ht="15.75" customHeight="1">
      <c r="A42" s="35" t="s">
        <v>75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5">
    <mergeCell ref="A1:H1"/>
    <mergeCell ref="A2:H2"/>
    <mergeCell ref="A40:H40"/>
    <mergeCell ref="A41:H41"/>
    <mergeCell ref="A42:H42"/>
  </mergeCells>
  <hyperlinks>
    <hyperlink r:id="rId1" ref="H5"/>
    <hyperlink r:id="rId2" ref="H12"/>
    <hyperlink r:id="rId3" ref="H13"/>
    <hyperlink r:id="rId4" ref="H18"/>
    <hyperlink r:id="rId5" ref="H19"/>
    <hyperlink r:id="rId6" ref="H20"/>
    <hyperlink r:id="rId7" ref="H21"/>
    <hyperlink r:id="rId8" ref="H22"/>
    <hyperlink r:id="rId9" ref="H24"/>
    <hyperlink r:id="rId10" ref="H25"/>
    <hyperlink r:id="rId11" ref="H27"/>
    <hyperlink r:id="rId12" ref="H28"/>
    <hyperlink r:id="rId13" ref="H29"/>
    <hyperlink r:id="rId14" ref="H33"/>
  </hyperlinks>
  <printOptions/>
  <pageMargins bottom="1.0" footer="0.0" header="0.0" left="0.75" right="0.75" top="1.0"/>
  <pageSetup paperSize="9" orientation="portrait"/>
  <drawing r:id="rId15"/>
</worksheet>
</file>